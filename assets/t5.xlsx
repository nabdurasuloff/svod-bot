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AF0A1807-A53B-4E01-96D6-3E32242C9E3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Йўриқнома" sheetId="1" r:id="rId1"/>
    <sheet name="Тоифалар кесимида" sheetId="7" r:id="rId2"/>
    <sheet name="Свод туман" sheetId="4" r:id="rId3"/>
    <sheet name="Номма-ном" sheetId="2" r:id="rId4"/>
    <sheet name="Маълумотнома" sheetId="5" r:id="rId5"/>
  </sheets>
  <definedNames>
    <definedName name="_xlnm._FilterDatabase" localSheetId="3" hidden="1">'Номма-ном'!$A$4:$W$520</definedName>
    <definedName name="_xlnm.Print_Area" localSheetId="2">'Свод туман'!$A$1:$P$17</definedName>
    <definedName name="_xlnm.Print_Area" localSheetId="1">'Тоифалар кесимида'!$A$1:$L$16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6" i="7" l="1"/>
  <c r="L15" i="7"/>
  <c r="L14" i="7"/>
  <c r="L13" i="7"/>
  <c r="L12" i="7"/>
  <c r="L11" i="7"/>
  <c r="L10" i="7"/>
  <c r="L9" i="7"/>
  <c r="L8" i="7"/>
  <c r="L7" i="7"/>
  <c r="L6" i="7"/>
  <c r="K16" i="7"/>
  <c r="K15" i="7"/>
  <c r="K14" i="7"/>
  <c r="K13" i="7"/>
  <c r="K12" i="7"/>
  <c r="K11" i="7"/>
  <c r="K10" i="7"/>
  <c r="K9" i="7"/>
  <c r="K8" i="7"/>
  <c r="K7" i="7"/>
  <c r="K6" i="7"/>
  <c r="J16" i="7"/>
  <c r="J15" i="7"/>
  <c r="J14" i="7"/>
  <c r="J13" i="7"/>
  <c r="J12" i="7"/>
  <c r="J11" i="7"/>
  <c r="J10" i="7"/>
  <c r="J9" i="7"/>
  <c r="J8" i="7"/>
  <c r="J7" i="7"/>
  <c r="J6" i="7"/>
  <c r="I16" i="7"/>
  <c r="I15" i="7"/>
  <c r="I14" i="7"/>
  <c r="I13" i="7"/>
  <c r="I12" i="7"/>
  <c r="I11" i="7"/>
  <c r="I10" i="7"/>
  <c r="I9" i="7"/>
  <c r="I8" i="7"/>
  <c r="I7" i="7"/>
  <c r="I6" i="7"/>
  <c r="H16" i="7"/>
  <c r="H15" i="7"/>
  <c r="H14" i="7"/>
  <c r="H13" i="7"/>
  <c r="H12" i="7"/>
  <c r="H11" i="7"/>
  <c r="H10" i="7"/>
  <c r="H9" i="7"/>
  <c r="H8" i="7"/>
  <c r="H7" i="7"/>
  <c r="H6" i="7"/>
  <c r="C16" i="7"/>
  <c r="C15" i="7"/>
  <c r="C14" i="7"/>
  <c r="C13" i="7"/>
  <c r="C12" i="7"/>
  <c r="C11" i="7"/>
  <c r="C10" i="7"/>
  <c r="C9" i="7"/>
  <c r="C8" i="7"/>
  <c r="C7" i="7"/>
  <c r="C6" i="7"/>
  <c r="G7" i="7" l="1"/>
  <c r="G8" i="7"/>
  <c r="G9" i="7"/>
  <c r="G10" i="7"/>
  <c r="G11" i="7"/>
  <c r="G12" i="7"/>
  <c r="G13" i="7"/>
  <c r="G14" i="7"/>
  <c r="G15" i="7"/>
  <c r="G16" i="7"/>
  <c r="G6" i="7"/>
  <c r="I5" i="7"/>
  <c r="F5" i="7"/>
  <c r="J5" i="7"/>
  <c r="K5" i="7"/>
  <c r="E5" i="7"/>
  <c r="L5" i="7"/>
  <c r="D5" i="7"/>
  <c r="C5" i="7" s="1"/>
  <c r="H5" i="7"/>
  <c r="G5" i="7" l="1"/>
  <c r="B17" i="4" l="1"/>
  <c r="P17" i="4" s="1"/>
  <c r="P16" i="4"/>
  <c r="O16" i="4"/>
  <c r="N16" i="4"/>
  <c r="M16" i="4"/>
  <c r="L16" i="4"/>
  <c r="K16" i="4"/>
  <c r="J16" i="4"/>
  <c r="I16" i="4"/>
  <c r="H16" i="4"/>
  <c r="G16" i="4"/>
  <c r="F16" i="4"/>
  <c r="B16" i="4"/>
  <c r="A16" i="4"/>
  <c r="B15" i="4"/>
  <c r="P15" i="4" s="1"/>
  <c r="P14" i="4"/>
  <c r="O14" i="4"/>
  <c r="N14" i="4"/>
  <c r="M14" i="4"/>
  <c r="L14" i="4"/>
  <c r="K14" i="4"/>
  <c r="J14" i="4"/>
  <c r="I14" i="4"/>
  <c r="B14" i="4"/>
  <c r="H14" i="4" s="1"/>
  <c r="B13" i="4"/>
  <c r="P12" i="4"/>
  <c r="O12" i="4"/>
  <c r="N12" i="4"/>
  <c r="M12" i="4"/>
  <c r="B12" i="4"/>
  <c r="L12" i="4" s="1"/>
  <c r="A12" i="4"/>
  <c r="B11" i="4"/>
  <c r="B10" i="4"/>
  <c r="P10" i="4" s="1"/>
  <c r="P9" i="4"/>
  <c r="O9" i="4"/>
  <c r="N9" i="4"/>
  <c r="M9" i="4"/>
  <c r="L9" i="4"/>
  <c r="K9" i="4"/>
  <c r="J9" i="4"/>
  <c r="I9" i="4"/>
  <c r="H9" i="4"/>
  <c r="G9" i="4"/>
  <c r="F9" i="4"/>
  <c r="B9" i="4"/>
  <c r="A9" i="4"/>
  <c r="B8" i="4"/>
  <c r="P8" i="4" s="1"/>
  <c r="P7" i="4"/>
  <c r="O7" i="4"/>
  <c r="N7" i="4"/>
  <c r="M7" i="4"/>
  <c r="L7" i="4"/>
  <c r="K7" i="4"/>
  <c r="J7" i="4"/>
  <c r="I7" i="4"/>
  <c r="B7" i="4"/>
  <c r="H7" i="4" s="1"/>
  <c r="C2" i="4"/>
  <c r="A1" i="4"/>
  <c r="E9" i="4" l="1"/>
  <c r="D9" i="4"/>
  <c r="D16" i="4"/>
  <c r="E14" i="4"/>
  <c r="E16" i="4"/>
  <c r="E7" i="4"/>
  <c r="A11" i="4"/>
  <c r="A13" i="4"/>
  <c r="I11" i="4"/>
  <c r="A15" i="4"/>
  <c r="J11" i="4"/>
  <c r="F13" i="4"/>
  <c r="K11" i="4"/>
  <c r="G13" i="4"/>
  <c r="L11" i="4"/>
  <c r="H13" i="4"/>
  <c r="G11" i="4"/>
  <c r="A10" i="4"/>
  <c r="M11" i="4"/>
  <c r="I13" i="4"/>
  <c r="A17" i="4"/>
  <c r="F8" i="4"/>
  <c r="N11" i="4"/>
  <c r="J13" i="4"/>
  <c r="F15" i="4"/>
  <c r="G8" i="4"/>
  <c r="O11" i="4"/>
  <c r="K13" i="4"/>
  <c r="G15" i="4"/>
  <c r="H8" i="4"/>
  <c r="P11" i="4"/>
  <c r="L13" i="4"/>
  <c r="H15" i="4"/>
  <c r="I8" i="4"/>
  <c r="M13" i="4"/>
  <c r="I15" i="4"/>
  <c r="J8" i="4"/>
  <c r="F10" i="4"/>
  <c r="H11" i="4"/>
  <c r="A8" i="4"/>
  <c r="N13" i="4"/>
  <c r="J15" i="4"/>
  <c r="F17" i="4"/>
  <c r="K8" i="4"/>
  <c r="G10" i="4"/>
  <c r="O13" i="4"/>
  <c r="K15" i="4"/>
  <c r="L8" i="4"/>
  <c r="H10" i="4"/>
  <c r="P13" i="4"/>
  <c r="L15" i="4"/>
  <c r="H17" i="4"/>
  <c r="F11" i="4"/>
  <c r="G17" i="4"/>
  <c r="A7" i="4"/>
  <c r="M8" i="4"/>
  <c r="I10" i="4"/>
  <c r="A14" i="4"/>
  <c r="M15" i="4"/>
  <c r="I17" i="4"/>
  <c r="N8" i="4"/>
  <c r="J10" i="4"/>
  <c r="F12" i="4"/>
  <c r="N15" i="4"/>
  <c r="J17" i="4"/>
  <c r="O8" i="4"/>
  <c r="K10" i="4"/>
  <c r="G12" i="4"/>
  <c r="O15" i="4"/>
  <c r="K17" i="4"/>
  <c r="L10" i="4"/>
  <c r="H12" i="4"/>
  <c r="L17" i="4"/>
  <c r="M10" i="4"/>
  <c r="I12" i="4"/>
  <c r="M17" i="4"/>
  <c r="F7" i="4"/>
  <c r="N10" i="4"/>
  <c r="J12" i="4"/>
  <c r="F14" i="4"/>
  <c r="C14" i="4" s="1"/>
  <c r="N17" i="4"/>
  <c r="G7" i="4"/>
  <c r="C9" i="4"/>
  <c r="O10" i="4"/>
  <c r="K12" i="4"/>
  <c r="G14" i="4"/>
  <c r="D14" i="4" s="1"/>
  <c r="C16" i="4"/>
  <c r="O17" i="4"/>
  <c r="O6" i="4" l="1"/>
  <c r="E12" i="4"/>
  <c r="E17" i="4"/>
  <c r="D11" i="4"/>
  <c r="D8" i="4"/>
  <c r="P6" i="4"/>
  <c r="D15" i="4"/>
  <c r="C10" i="4"/>
  <c r="M6" i="4"/>
  <c r="D12" i="4"/>
  <c r="N6" i="4"/>
  <c r="C17" i="4"/>
  <c r="H6" i="4"/>
  <c r="D17" i="4"/>
  <c r="C11" i="4"/>
  <c r="C12" i="4"/>
  <c r="E13" i="4"/>
  <c r="K6" i="4"/>
  <c r="D13" i="4"/>
  <c r="E11" i="4"/>
  <c r="L6" i="4"/>
  <c r="C13" i="4"/>
  <c r="J6" i="4"/>
  <c r="I6" i="4"/>
  <c r="E15" i="4"/>
  <c r="C8" i="4"/>
  <c r="E8" i="4"/>
  <c r="C7" i="4"/>
  <c r="F6" i="4"/>
  <c r="D10" i="4"/>
  <c r="E10" i="4"/>
  <c r="D7" i="4"/>
  <c r="G6" i="4"/>
  <c r="C15" i="4"/>
  <c r="E6" i="4" l="1"/>
  <c r="D6" i="4"/>
  <c r="C6" i="4"/>
</calcChain>
</file>

<file path=xl/sharedStrings.xml><?xml version="1.0" encoding="utf-8"?>
<sst xmlns="http://schemas.openxmlformats.org/spreadsheetml/2006/main" count="5485" uniqueCount="1167">
  <si>
    <t>ЯТТ, МЧЖ ва деҳқон хўжалиги — номма-ном рўйхатни юритиш тартиби</t>
  </si>
  <si>
    <t>Мавсум бошланган сана</t>
  </si>
  <si>
    <t>← мавсум бошини аниқлаштириб қўйинг (ҳозир 01.01.2026 деб олинди)</t>
  </si>
  <si>
    <t>Ҳисобот санаси</t>
  </si>
  <si>
    <t>← ҳар куни ҳисобот олишдан олдин шу санани ўзгартиринг</t>
  </si>
  <si>
    <t>Қандай ишлайди</t>
  </si>
  <si>
    <t>1. Маҳалла банкири ҳар бир янги ЯТТ, МЧЖ ёки деҳқон хўжалигини «Номма-ном» варағига битта қатор қилиб киритади (давлат рўйхатидан ўтган кунида ёки эртасига).</t>
  </si>
  <si>
    <t>2. «Свод вилоят» ва «Свод туман» ўзи ҳисобланади: мавсум бошидан = мавсум бошидан ҳисобот санасигача рўйхатдан ўтганлар; бир кунда = айнан ҳисобот санасида рўйхатдан ўтганлар; реестрдаги = «Реестрда» устунида «Ҳа».</t>
  </si>
  <si>
    <t>3. Олдинги кун рақамини яширин устунда сақлаб, айириш шарт эмас — «бир кунда» сана бўйича автоматик чиқади.</t>
  </si>
  <si>
    <t>4. Ҳар куни: (1) янги қаторлар киритилади → (2) C4 да ҳисобот санаси қўйилади → (3) Свод варағи PDF/расм қилиб Штабга юборилади.</t>
  </si>
  <si>
    <t>Тўлдириш қоидалари</t>
  </si>
  <si>
    <t>• Вилоят, туман, шакл, соҳа, реестр, кўмак тури, манба — фақат рўйхатдан танланади.</t>
  </si>
  <si>
    <t>• ЖШШИР — 14 рақам, СТИР — 9 рақам (матн кўринишида). Хато бўлса катак қизил бўлади.</t>
  </si>
  <si>
    <t>• «Давлат рўйхатидан ўтган сана» ва «Реестрда» — мажбурий. Бўш қолса қизил бўлади, сана бўлмаса Сводга тушмайди.</t>
  </si>
  <si>
    <t>• МЧЖ ва ДХ учун корхона номи, ДХ учун ер майдони ёзилади (бўш бўлса сариқ). МЧЖ учун «Яратилган иш ўрни» — МЧЖга ишга олинганлар сони.</t>
  </si>
  <si>
    <t>• Битта фуқаро бир нечта шакл очган бўлса (масалан ЯТТ ва ДХ) — ҳар бири алоҳида қатор.</t>
  </si>
  <si>
    <t>• Бу фуқаролар асосий «Номма-ном (Хатлов)» файлида ҳам бандлик тури «ЯТТ / МЧЖ / Деҳқон хўжалиги ташкил этди» билан белгиланади — иккала файлда ЖШШИР бир хил бўлиши керак.</t>
  </si>
  <si>
    <t>• Шахсий маълумотлар бор — файлни фақат банк ички тармоғида сақланг ва узатинг.</t>
  </si>
  <si>
    <t>Намуна қатор (кўриш учун; Номма-ном варағига кўчирманг, шахс ўйлаб топилган)</t>
  </si>
  <si>
    <t>№</t>
  </si>
  <si>
    <t>Вилоят</t>
  </si>
  <si>
    <t>Туман (шаҳар)</t>
  </si>
  <si>
    <t>Маҳалла номи</t>
  </si>
  <si>
    <t>Фамилияси, исми, отасининг исми</t>
  </si>
  <si>
    <t>ЖШШИР (ПИНФЛ)
14 рақам</t>
  </si>
  <si>
    <t>Туғилган санаси</t>
  </si>
  <si>
    <t>Жинси</t>
  </si>
  <si>
    <t>Телефон рақами</t>
  </si>
  <si>
    <t>Ташкил этилган шакли</t>
  </si>
  <si>
    <t>Корхона (хўжалик) номи
МЧЖ ва ДХ учун</t>
  </si>
  <si>
    <t>СТИР (ИНН)
9 рақам</t>
  </si>
  <si>
    <t>Давлат рўйхатидан ўтган сана</t>
  </si>
  <si>
    <t>Фаолият соҳаси</t>
  </si>
  <si>
    <t>Реестрда
(Ҳа/Йўқ)</t>
  </si>
  <si>
    <t>Молиявий кўмак тури</t>
  </si>
  <si>
    <t>Ажратилган маблағ
(млн сўм)</t>
  </si>
  <si>
    <t>Яратилган иш ўрни
(нафар)</t>
  </si>
  <si>
    <t>Ер майдони (га)
ДХ учун</t>
  </si>
  <si>
    <t>Маълумот манбаи</t>
  </si>
  <si>
    <t>Масъул маҳалла банкири</t>
  </si>
  <si>
    <t>Изоҳ</t>
  </si>
  <si>
    <t>Сирдарё</t>
  </si>
  <si>
    <t>Сардоба</t>
  </si>
  <si>
    <t>Пахтаобод</t>
  </si>
  <si>
    <t>Тошматов Улуғбек Раҳимович</t>
  </si>
  <si>
    <t>32104915670018</t>
  </si>
  <si>
    <t>21.04.1991</t>
  </si>
  <si>
    <t>Эркак</t>
  </si>
  <si>
    <t>+998 91 234 56 78</t>
  </si>
  <si>
    <t>Деҳқон хўжалиги</t>
  </si>
  <si>
    <t>«Улуғбек Сардоба» ДХ</t>
  </si>
  <si>
    <t>312345678</t>
  </si>
  <si>
    <t>10.10.2026</t>
  </si>
  <si>
    <t>Иссиқхона</t>
  </si>
  <si>
    <t>Ҳа</t>
  </si>
  <si>
    <t>Кредит</t>
  </si>
  <si>
    <t>Портфел (АБС)</t>
  </si>
  <si>
    <t>Аҳмедов Санжар</t>
  </si>
  <si>
    <t>Иссиқхона 0,15 га</t>
  </si>
  <si>
    <t>ЯТТ, МЧЖ ва деҳқон хўжалиги ташкил этган фуқароларнинг НОММА-НОМ рўйхати</t>
  </si>
  <si>
    <t>Ҳисобот санаси:</t>
  </si>
  <si>
    <t>ЖАМИ
(ЯТТ + МЧЖ + Деҳқон хўжалиги)</t>
  </si>
  <si>
    <t>ЯТТ ташкил этди</t>
  </si>
  <si>
    <t>МЧЖ ташкил этди</t>
  </si>
  <si>
    <t>Деҳқон хўжалиги ташкил этди</t>
  </si>
  <si>
    <t>Мавсум бошидан сони</t>
  </si>
  <si>
    <t>шундан, реестрдаги</t>
  </si>
  <si>
    <t>бир кунда</t>
  </si>
  <si>
    <t>Яратилган иш ўрни (мавсум бошидан)</t>
  </si>
  <si>
    <t>Ер майдони, га (мавсум бошидан)</t>
  </si>
  <si>
    <t>x</t>
  </si>
  <si>
    <t>Жами</t>
  </si>
  <si>
    <t>Қорақалпоғистон Р.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</si>
  <si>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</si>
  <si>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</si>
  <si>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</si>
  <si>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</si>
  <si>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</si>
  <si>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</si>
  <si>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</si>
  <si>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Сурхондарё</t>
  </si>
  <si>
    <t>Тошкент</t>
  </si>
  <si>
    <t>Фарғона</t>
  </si>
  <si>
    <t>Хоразм</t>
  </si>
  <si>
    <t>Тошкент ш.</t>
  </si>
  <si>
    <t>Вилоят →</t>
  </si>
  <si>
    <t>Туман ва шаҳар номи</t>
  </si>
  <si>
    <t>Молиявий кўмак</t>
  </si>
  <si>
    <t>Реестрда</t>
  </si>
  <si>
    <t>Вилоятлар</t>
  </si>
  <si>
    <t>Амударё</t>
  </si>
  <si>
    <t>ЯТТ</t>
  </si>
  <si>
    <t>Савдо</t>
  </si>
  <si>
    <t>Платформа</t>
  </si>
  <si>
    <t>Беруний</t>
  </si>
  <si>
    <t>МЧЖ</t>
  </si>
  <si>
    <t>Хизмат кўрсатиш</t>
  </si>
  <si>
    <t>Субсидия</t>
  </si>
  <si>
    <t>Йўқ</t>
  </si>
  <si>
    <t>Аёл</t>
  </si>
  <si>
    <t>Бўзатов</t>
  </si>
  <si>
    <t>Ишлаб чиқариш</t>
  </si>
  <si>
    <t>Ссуда</t>
  </si>
  <si>
    <t>Солиқ (my.soliq)</t>
  </si>
  <si>
    <t>Кегейли</t>
  </si>
  <si>
    <t>Ҳунармандчилик</t>
  </si>
  <si>
    <t>Ваучер</t>
  </si>
  <si>
    <t>Маҳалла банкири</t>
  </si>
  <si>
    <t>Қанлиқўл</t>
  </si>
  <si>
    <t>Ўз маблағи</t>
  </si>
  <si>
    <t>Ҳокимлик / маҳалла</t>
  </si>
  <si>
    <t>Қораўзак</t>
  </si>
  <si>
    <t>Чорвачилик</t>
  </si>
  <si>
    <t>Бошқа</t>
  </si>
  <si>
    <t>Қўнғирот</t>
  </si>
  <si>
    <t>Паррандачилик</t>
  </si>
  <si>
    <t>Мўйноқ</t>
  </si>
  <si>
    <t>Боғдорчилик / полиз</t>
  </si>
  <si>
    <t>Нукус тумани</t>
  </si>
  <si>
    <t>Қурилиш</t>
  </si>
  <si>
    <t>Тахиатош тумани</t>
  </si>
  <si>
    <t>Транспорт</t>
  </si>
  <si>
    <t>Тахтакўпир</t>
  </si>
  <si>
    <t>Тўрткўл</t>
  </si>
  <si>
    <t>Хўжайли</t>
  </si>
  <si>
    <t>Чимбой</t>
  </si>
  <si>
    <t>Шуманай</t>
  </si>
  <si>
    <t>Элликқалъа</t>
  </si>
  <si>
    <t>Нукус шаҳри</t>
  </si>
  <si>
    <t>Андижон тумани</t>
  </si>
  <si>
    <t>Асака</t>
  </si>
  <si>
    <t>Балиқчи</t>
  </si>
  <si>
    <t>Бўстон</t>
  </si>
  <si>
    <t>Булоқбоши</t>
  </si>
  <si>
    <t>Жалақудуқ</t>
  </si>
  <si>
    <t>Избоскан</t>
  </si>
  <si>
    <t>Марҳамат</t>
  </si>
  <si>
    <t>Олтинкўл</t>
  </si>
  <si>
    <t>Қўрғонтепа</t>
  </si>
  <si>
    <t>Улуғнор</t>
  </si>
  <si>
    <t>Хўжаобод</t>
  </si>
  <si>
    <t>Шаҳрихон</t>
  </si>
  <si>
    <t>Андижон шаҳри</t>
  </si>
  <si>
    <t>Хонобод шаҳри</t>
  </si>
  <si>
    <t>Бухоро тумани</t>
  </si>
  <si>
    <t>Вобкент</t>
  </si>
  <si>
    <t>Жондор</t>
  </si>
  <si>
    <t>Когон тумани</t>
  </si>
  <si>
    <t>Олот</t>
  </si>
  <si>
    <t>Пешку</t>
  </si>
  <si>
    <t>Ромитан</t>
  </si>
  <si>
    <t>Шофиркон</t>
  </si>
  <si>
    <t>Қоракўл</t>
  </si>
  <si>
    <t>Қоровулбозор</t>
  </si>
  <si>
    <t>Ғиждувон</t>
  </si>
  <si>
    <t>Бухоро шаҳри</t>
  </si>
  <si>
    <t>Когон шаҳри</t>
  </si>
  <si>
    <t>Арнасой</t>
  </si>
  <si>
    <t>Бахмал</t>
  </si>
  <si>
    <t>Ғаллаорол</t>
  </si>
  <si>
    <t>Дўстлик</t>
  </si>
  <si>
    <t>Зарбдор</t>
  </si>
  <si>
    <t>Зафаробод</t>
  </si>
  <si>
    <t>Зомин</t>
  </si>
  <si>
    <t>Мирзачўл</t>
  </si>
  <si>
    <t>Пахтакор</t>
  </si>
  <si>
    <t>Фориш</t>
  </si>
  <si>
    <t>Шароф Рашидов</t>
  </si>
  <si>
    <t>Янгиобод</t>
  </si>
  <si>
    <t>Жиззах шаҳри</t>
  </si>
  <si>
    <t>Деҳқонобод</t>
  </si>
  <si>
    <t>Касби</t>
  </si>
  <si>
    <t>Китоб</t>
  </si>
  <si>
    <t>Косон</t>
  </si>
  <si>
    <t>Кўкдала</t>
  </si>
  <si>
    <t>Миришкор</t>
  </si>
  <si>
    <t>Муборак</t>
  </si>
  <si>
    <t>Нишон</t>
  </si>
  <si>
    <t>Чироқчи</t>
  </si>
  <si>
    <t>Шаҳрисабз тумани</t>
  </si>
  <si>
    <t>Яккабоғ</t>
  </si>
  <si>
    <t>Қамаши</t>
  </si>
  <si>
    <t>Қарши тумани</t>
  </si>
  <si>
    <t>Ғузор</t>
  </si>
  <si>
    <t>Қарши шаҳри</t>
  </si>
  <si>
    <t>Шаҳрисабз шаҳри</t>
  </si>
  <si>
    <t>Кармана</t>
  </si>
  <si>
    <t>Конимех</t>
  </si>
  <si>
    <t>Навбаҳор</t>
  </si>
  <si>
    <t>Нурота</t>
  </si>
  <si>
    <t>Томди</t>
  </si>
  <si>
    <t>Учқудуқ</t>
  </si>
  <si>
    <t>Хатирчи</t>
  </si>
  <si>
    <t>Қизилтепа</t>
  </si>
  <si>
    <t>Навоий шаҳри</t>
  </si>
  <si>
    <t>Зарафшон шаҳри</t>
  </si>
  <si>
    <t>Ғозғон шаҳри</t>
  </si>
  <si>
    <t>Давлатобод</t>
  </si>
  <si>
    <t>Косонсой</t>
  </si>
  <si>
    <t>Мингбулоқ</t>
  </si>
  <si>
    <t>Наманган тумани</t>
  </si>
  <si>
    <t>Норин</t>
  </si>
  <si>
    <t>Поп</t>
  </si>
  <si>
    <t>Тўрақўрғон</t>
  </si>
  <si>
    <t>Уйчи</t>
  </si>
  <si>
    <t>Учқўрғон</t>
  </si>
  <si>
    <t>Чортоқ</t>
  </si>
  <si>
    <t>Чуст</t>
  </si>
  <si>
    <t>Янгиқўрғон</t>
  </si>
  <si>
    <t>Янги Наманган</t>
  </si>
  <si>
    <t>Наманган шаҳри</t>
  </si>
  <si>
    <t>Булунғур</t>
  </si>
  <si>
    <t>Жомбой</t>
  </si>
  <si>
    <t>Иштихон</t>
  </si>
  <si>
    <t>Каттақўрғон тумани</t>
  </si>
  <si>
    <t>Нарпай</t>
  </si>
  <si>
    <t>Нуробод</t>
  </si>
  <si>
    <t>Оқдарё</t>
  </si>
  <si>
    <t>Пайариқ</t>
  </si>
  <si>
    <t>Пастдарғом</t>
  </si>
  <si>
    <t>Пахтачи</t>
  </si>
  <si>
    <t>Самарқанд тумани</t>
  </si>
  <si>
    <t>Тойлоқ</t>
  </si>
  <si>
    <t>Ургут</t>
  </si>
  <si>
    <t>Қўшработ</t>
  </si>
  <si>
    <t>Самарқанд шаҳри</t>
  </si>
  <si>
    <t>Каттақўрғон шаҳри</t>
  </si>
  <si>
    <t>Ангор</t>
  </si>
  <si>
    <t>Бандихон</t>
  </si>
  <si>
    <t>Бойсун</t>
  </si>
  <si>
    <t>Денов</t>
  </si>
  <si>
    <t>Жарқўрғон</t>
  </si>
  <si>
    <t>Музработ</t>
  </si>
  <si>
    <t>Олтинсой</t>
  </si>
  <si>
    <t>Сариосиё</t>
  </si>
  <si>
    <t>Термиз тумани</t>
  </si>
  <si>
    <t>Узун</t>
  </si>
  <si>
    <t>Шеробод</t>
  </si>
  <si>
    <t>Шўрчи</t>
  </si>
  <si>
    <t>Қизириқ</t>
  </si>
  <si>
    <t>Қумқўрғон</t>
  </si>
  <si>
    <t>Термиз шаҳри</t>
  </si>
  <si>
    <t>Боёвут</t>
  </si>
  <si>
    <t>Гулистон тумани</t>
  </si>
  <si>
    <t>Мирзаобод</t>
  </si>
  <si>
    <t>Оқолтин</t>
  </si>
  <si>
    <t>Сайхунобод</t>
  </si>
  <si>
    <t>Сирдарё тумани</t>
  </si>
  <si>
    <t>Ховос</t>
  </si>
  <si>
    <t>Гулистон шаҳри</t>
  </si>
  <si>
    <t>Ширин шаҳри</t>
  </si>
  <si>
    <t>Янгиер шаҳри</t>
  </si>
  <si>
    <t>Бекобод тумани</t>
  </si>
  <si>
    <t>Бўка</t>
  </si>
  <si>
    <t>Бўстонлиқ</t>
  </si>
  <si>
    <t>Зангиота</t>
  </si>
  <si>
    <t>Оққўрғон</t>
  </si>
  <si>
    <t>Оҳангарон тумани</t>
  </si>
  <si>
    <t>Паркент</t>
  </si>
  <si>
    <t>Пискент</t>
  </si>
  <si>
    <t>Тошкент тумани</t>
  </si>
  <si>
    <t>Ўртачирчиқ</t>
  </si>
  <si>
    <t>Чиноз</t>
  </si>
  <si>
    <t>Юқоричирчиқ</t>
  </si>
  <si>
    <t>Янгийўл тумани</t>
  </si>
  <si>
    <t>Қибрай</t>
  </si>
  <si>
    <t>Қуйичирчиқ</t>
  </si>
  <si>
    <t>Нурафшон шаҳри</t>
  </si>
  <si>
    <t>Олмалиқ шаҳри</t>
  </si>
  <si>
    <t>Ангрен шаҳри</t>
  </si>
  <si>
    <t>Бекобод шаҳри</t>
  </si>
  <si>
    <t>Оҳангарон шаҳри</t>
  </si>
  <si>
    <t>Чирчиқ шаҳри</t>
  </si>
  <si>
    <t>Янгийўл шаҳри</t>
  </si>
  <si>
    <t>Бағдод</t>
  </si>
  <si>
    <t>Бешариқ</t>
  </si>
  <si>
    <t>Бувайда</t>
  </si>
  <si>
    <t>Данғара</t>
  </si>
  <si>
    <t>Олтиариқ</t>
  </si>
  <si>
    <t>Риштон</t>
  </si>
  <si>
    <t>Сўх</t>
  </si>
  <si>
    <t>Тошлоқ</t>
  </si>
  <si>
    <t>Учкўприк</t>
  </si>
  <si>
    <t>Фарғона тумани</t>
  </si>
  <si>
    <t>Фурқат</t>
  </si>
  <si>
    <t>Ўзбекистон</t>
  </si>
  <si>
    <t>Қува</t>
  </si>
  <si>
    <t>Қўштепа</t>
  </si>
  <si>
    <t>Ёзёвон</t>
  </si>
  <si>
    <t>Фарғона шаҳри</t>
  </si>
  <si>
    <t>Қўқон шаҳри</t>
  </si>
  <si>
    <t>Марғилон шаҳри</t>
  </si>
  <si>
    <t>Қувасой шаҳри</t>
  </si>
  <si>
    <t>Боғот</t>
  </si>
  <si>
    <t>Гурлан</t>
  </si>
  <si>
    <t>Тупроққалъа</t>
  </si>
  <si>
    <t>Урганч тумани</t>
  </si>
  <si>
    <t>Хива тумани</t>
  </si>
  <si>
    <t>Хонқа</t>
  </si>
  <si>
    <t>Ҳазорасп</t>
  </si>
  <si>
    <t>Шовот</t>
  </si>
  <si>
    <t>Янгиариқ</t>
  </si>
  <si>
    <t>Янгибозор</t>
  </si>
  <si>
    <t>Қўшкўпир</t>
  </si>
  <si>
    <t>Урганч шаҳри</t>
  </si>
  <si>
    <t>Хива шаҳри</t>
  </si>
  <si>
    <t>Бектемир</t>
  </si>
  <si>
    <t>Мирзо Улуғбек</t>
  </si>
  <si>
    <t>Миробод</t>
  </si>
  <si>
    <t>Олмазор</t>
  </si>
  <si>
    <t>Сергели</t>
  </si>
  <si>
    <t>Учтепа</t>
  </si>
  <si>
    <t>Чилонзор</t>
  </si>
  <si>
    <t>Шайхонтоҳур</t>
  </si>
  <si>
    <t>Юнусобод</t>
  </si>
  <si>
    <t>Яккасарой</t>
  </si>
  <si>
    <t>Янгиҳаёт</t>
  </si>
  <si>
    <t>Яшнобод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</si>
  <si>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</si>
  <si>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</si>
  <si>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</si>
  <si>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</si>
  <si>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</si>
  <si>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</si>
  <si>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</si>
  <si>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</si>
  <si>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</si>
  <si>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</si>
  <si>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</si>
  <si>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</si>
  <si>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</si>
  <si>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</si>
  <si>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</si>
  <si>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</si>
  <si>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</si>
  <si>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</si>
  <si>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</si>
  <si>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</si>
  <si>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</si>
  <si>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</si>
  <si>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</si>
  <si>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</si>
  <si>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</si>
  <si>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</si>
  <si>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</si>
  <si>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</si>
  <si>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</si>
  <si>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</si>
  <si>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</si>
  <si>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</si>
  <si>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</si>
  <si>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</si>
  <si>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</si>
  <si>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</si>
  <si>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</si>
  <si>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</si>
  <si>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</si>
  <si>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</si>
  <si>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</si>
  <si>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</si>
  <si>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</si>
  <si>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</si>
  <si>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</si>
  <si>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</si>
  <si>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</si>
  <si>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</si>
  <si>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</si>
  <si>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</si>
  <si>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</si>
  <si>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</si>
  <si>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</si>
  <si>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</si>
  <si>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</si>
  <si>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</si>
  <si>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</si>
  <si>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</si>
  <si>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</si>
  <si>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</si>
  <si>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</si>
  <si>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</si>
  <si>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</si>
  <si>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</si>
  <si>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</si>
  <si>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</si>
  <si>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</si>
  <si>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</si>
  <si>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</si>
  <si>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</si>
  <si>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</si>
  <si>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</si>
  <si>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</si>
  <si>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</si>
  <si>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</si>
  <si>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</si>
  <si>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</si>
  <si>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</si>
  <si>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</si>
  <si>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</si>
  <si>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</si>
  <si>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</si>
  <si>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</si>
  <si>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</si>
  <si>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</si>
  <si>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</si>
  <si>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</si>
  <si>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</si>
  <si>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</si>
  <si>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</si>
  <si>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</si>
  <si>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</si>
  <si>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</si>
  <si>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</si>
  <si>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</si>
  <si>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</si>
  <si>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</si>
  <si>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</si>
  <si>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</si>
  <si>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</si>
  <si>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</si>
  <si>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</si>
  <si>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</si>
  <si>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</si>
  <si>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</si>
  <si>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</si>
  <si>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</si>
  <si>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</si>
  <si>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</si>
  <si>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</si>
  <si>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</si>
  <si>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</si>
  <si>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</si>
  <si>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</si>
  <si>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</si>
  <si>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</si>
  <si>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</si>
  <si>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</si>
  <si>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</si>
  <si>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</si>
  <si>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</si>
  <si>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</si>
  <si>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</si>
  <si>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</si>
  <si>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</si>
  <si>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</si>
  <si>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</si>
  <si>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</si>
  <si>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</si>
  <si>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</si>
  <si>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</si>
  <si>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</si>
  <si>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</si>
  <si>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</si>
  <si>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</si>
  <si>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</si>
  <si>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</si>
  <si>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</si>
  <si>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</si>
  <si>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</si>
  <si>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</si>
  <si>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</si>
  <si>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</si>
  <si>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</si>
  <si>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</si>
  <si>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</si>
  <si>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</si>
  <si>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</si>
  <si>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</si>
  <si>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</si>
  <si>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</si>
  <si>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</si>
  <si>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</si>
  <si>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</si>
  <si>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</si>
  <si>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</si>
  <si>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</si>
  <si>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</si>
  <si>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</si>
  <si>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</si>
  <si>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</si>
  <si>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</si>
  <si>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</si>
  <si>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</si>
  <si>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</si>
  <si>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</si>
  <si>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</si>
  <si>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</si>
  <si>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</si>
  <si>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</si>
  <si>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</si>
  <si>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</si>
  <si>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</si>
  <si>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</si>
  <si>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</si>
  <si>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</si>
  <si>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</si>
  <si>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</si>
  <si>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</si>
  <si>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</si>
  <si>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</si>
  <si>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</si>
  <si>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</si>
  <si>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</si>
  <si>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</si>
  <si>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</si>
  <si>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</si>
  <si>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</si>
  <si>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</si>
  <si>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</si>
  <si>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</si>
  <si>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</si>
  <si>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</si>
  <si>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</si>
  <si>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</si>
  <si>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</si>
  <si>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</si>
  <si>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</si>
  <si>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</si>
  <si>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</si>
  <si>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</si>
  <si>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</si>
  <si>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</si>
  <si>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</si>
  <si>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</si>
  <si>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</si>
  <si>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</si>
  <si>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</si>
  <si>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</si>
  <si>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</si>
  <si>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</si>
  <si>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</si>
  <si>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</si>
  <si>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</si>
  <si>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</si>
  <si>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</si>
  <si>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</si>
  <si>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</si>
  <si>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</si>
  <si>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</si>
  <si>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</si>
  <si>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</si>
  <si>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</si>
  <si>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</si>
  <si>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</si>
  <si>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</si>
  <si>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</si>
  <si>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</si>
  <si>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</si>
  <si>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</si>
  <si>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</si>
  <si>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</si>
  <si>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</si>
  <si>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</si>
  <si>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</si>
  <si>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</si>
  <si>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</si>
  <si>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</si>
  <si>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</si>
  <si>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</si>
  <si>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</si>
  <si>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</si>
  <si>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</si>
  <si>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</si>
  <si>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</si>
  <si>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</si>
  <si>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</si>
  <si>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</si>
  <si>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</si>
  <si>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</si>
  <si>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</si>
  <si>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</si>
  <si>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</si>
  <si>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</si>
  <si>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</si>
  <si>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</si>
  <si>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</si>
  <si>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</si>
  <si>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</si>
  <si>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</si>
  <si>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</si>
  <si>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</si>
  <si>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</si>
  <si>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</si>
  <si>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</si>
  <si>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</si>
  <si>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</si>
  <si>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</si>
  <si>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</si>
  <si>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</si>
  <si>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</si>
  <si>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</si>
  <si>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</si>
  <si>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</si>
  <si>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</si>
  <si>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</si>
  <si>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</si>
  <si>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</si>
  <si>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</si>
  <si>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</si>
  <si>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</si>
  <si>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</si>
  <si>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</si>
  <si>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</si>
  <si>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</si>
  <si>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</si>
  <si>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</si>
  <si>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</si>
  <si>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</si>
  <si>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</si>
  <si>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</si>
  <si>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</si>
  <si>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</si>
  <si>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</si>
  <si>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</si>
  <si>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</si>
  <si>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</si>
  <si>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</si>
  <si>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</si>
  <si>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</si>
  <si>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</si>
  <si>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</si>
  <si>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</si>
  <si>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</si>
  <si>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</si>
  <si>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</si>
  <si>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</si>
  <si>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</si>
  <si>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</si>
  <si>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</si>
  <si>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</si>
  <si>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</si>
  <si>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</si>
  <si>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</si>
  <si>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</si>
  <si>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</si>
  <si>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</si>
  <si>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</si>
  <si>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</si>
  <si>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</si>
  <si>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</si>
  <si>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</si>
  <si>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</si>
  <si>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</si>
  <si>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</si>
  <si>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</si>
  <si>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</si>
  <si>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</si>
  <si>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</si>
  <si>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</si>
  <si>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</si>
  <si>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</si>
  <si>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</si>
  <si>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</si>
  <si>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</si>
  <si>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</si>
  <si>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</si>
  <si>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</si>
  <si>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</si>
  <si>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</si>
  <si>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</si>
  <si>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</si>
  <si>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</si>
  <si>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</si>
  <si>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</si>
  <si>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</si>
  <si>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</si>
  <si>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</si>
  <si>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</si>
  <si>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</si>
  <si>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</si>
  <si>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</si>
  <si>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</si>
  <si>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</si>
  <si>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</si>
  <si>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</si>
  <si>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</si>
  <si>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</si>
  <si>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</si>
  <si>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</si>
  <si>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</si>
  <si>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</si>
  <si>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</si>
  <si>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</si>
  <si>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</si>
  <si>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</si>
  <si>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</si>
  <si>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</si>
  <si>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</si>
  <si>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</si>
  <si>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</si>
  <si>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</si>
  <si>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</si>
  <si>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</si>
  <si>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</si>
  <si>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</si>
  <si>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</si>
  <si>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</si>
  <si>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</si>
  <si>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</si>
  <si>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</si>
  <si>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</si>
  <si>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</si>
  <si>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</si>
  <si>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</si>
  <si>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</si>
  <si>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</si>
  <si>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</si>
  <si>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</si>
  <si>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</si>
  <si>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</si>
  <si>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</si>
  <si>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</si>
  <si>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</si>
  <si>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</si>
  <si>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</si>
  <si>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</si>
  <si>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</si>
  <si>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</si>
  <si>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</si>
  <si>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</si>
  <si>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</si>
  <si>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</si>
  <si>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</si>
  <si>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</si>
  <si>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</si>
  <si>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</si>
  <si>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</si>
  <si>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</si>
  <si>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</si>
  <si>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</si>
  <si>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</si>
  <si>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</si>
  <si>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</si>
  <si>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</si>
  <si>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</si>
  <si>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</si>
  <si>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</si>
  <si>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</si>
  <si>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</si>
  <si>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</si>
  <si>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</si>
  <si>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</si>
  <si>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</si>
  <si>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</si>
  <si>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</si>
  <si>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</si>
  <si>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</si>
  <si>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</si>
  <si>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</si>
  <si>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</si>
  <si>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</si>
  <si>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</si>
  <si>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</si>
  <si>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</si>
  <si>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</si>
  <si>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</si>
  <si>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</si>
  <si>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</si>
  <si>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</si>
  <si>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</si>
  <si>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</si>
  <si>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</si>
  <si>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</si>
  <si>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</si>
  <si>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</si>
  <si>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</si>
  <si>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</si>
  <si>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</si>
  <si>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</si>
  <si>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</si>
  <si>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</si>
  <si>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</si>
  <si>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</si>
  <si>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</si>
  <si>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</si>
  <si>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</si>
  <si>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</si>
  <si>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</si>
  <si>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</si>
  <si>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</si>
  <si>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</si>
  <si>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</si>
  <si>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</si>
  <si>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</si>
  <si>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</si>
  <si>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</si>
  <si>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</si>
  <si>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</si>
  <si>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</si>
  <si>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</si>
  <si>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</si>
  <si>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</si>
  <si>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</si>
  <si>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</si>
  <si>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</si>
  <si>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</si>
  <si>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</si>
  <si>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</si>
  <si>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</si>
  <si>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</si>
  <si>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</si>
  <si>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</si>
  <si>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</si>
  <si>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</si>
  <si>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</si>
  <si>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</si>
  <si>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</si>
  <si>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</si>
  <si>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</si>
  <si>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</si>
  <si>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</si>
  <si>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</si>
  <si>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</si>
  <si>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</si>
  <si>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</si>
  <si>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</si>
  <si>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</si>
  <si>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</si>
  <si>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</si>
  <si>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</si>
  <si>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</si>
  <si>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</si>
  <si>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</si>
  <si>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</si>
  <si>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</si>
  <si>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</si>
  <si>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</si>
  <si>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</si>
  <si>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</si>
  <si>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</si>
  <si>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</si>
  <si>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</si>
  <si>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</si>
  <si>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</si>
  <si>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</si>
  <si>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</si>
  <si>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</si>
  <si>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</si>
  <si>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</si>
  <si>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</si>
  <si>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</si>
  <si>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</si>
  <si>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</si>
  <si>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</si>
  <si>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</si>
  <si>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</si>
  <si>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</si>
  <si>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</si>
  <si>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</si>
  <si>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</si>
  <si>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</si>
  <si>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</si>
  <si>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</si>
  <si>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</si>
  <si>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</si>
  <si>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</si>
  <si>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</si>
  <si>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</si>
  <si>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</si>
  <si>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</si>
  <si>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</si>
  <si>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</si>
  <si>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</si>
  <si>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</si>
  <si>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</si>
  <si>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</si>
  <si>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</si>
  <si>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</si>
  <si>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</si>
  <si>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</si>
  <si>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</si>
  <si>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</si>
  <si>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</si>
  <si>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</si>
  <si>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</si>
  <si>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</si>
  <si>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</si>
  <si>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</si>
  <si>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</si>
  <si>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</si>
  <si>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</si>
  <si>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</si>
  <si>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</si>
  <si>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</si>
  <si>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</si>
  <si>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</si>
  <si>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</si>
  <si>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</si>
  <si>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</si>
  <si>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</si>
  <si>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</si>
  <si>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</si>
  <si>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</si>
  <si>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</si>
  <si>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</si>
  <si>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</si>
  <si>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</si>
  <si>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</si>
  <si>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</si>
  <si>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</si>
  <si>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</si>
  <si>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</si>
  <si>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</si>
  <si>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</si>
  <si>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</si>
  <si>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</si>
  <si>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</si>
  <si>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</si>
  <si>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</si>
  <si>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</si>
  <si>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</si>
  <si>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</si>
  <si>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</si>
  <si>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</si>
  <si>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</si>
  <si>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</si>
  <si>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</si>
  <si>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</si>
  <si>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</si>
  <si>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</si>
  <si>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</si>
  <si>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</si>
  <si>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</si>
  <si>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</si>
  <si>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</si>
  <si>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</si>
  <si>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</si>
  <si>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</si>
  <si>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</si>
  <si>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</si>
  <si>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</si>
  <si>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</si>
  <si>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</si>
  <si>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</si>
  <si>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</si>
  <si>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</si>
  <si>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</si>
  <si>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</si>
  <si>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</si>
  <si>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</si>
  <si>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</si>
  <si>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</si>
  <si>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</si>
  <si>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</si>
  <si>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</si>
  <si>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</si>
  <si>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</si>
  <si>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</si>
  <si>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</si>
  <si>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</si>
  <si>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</si>
  <si>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</si>
  <si>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</si>
  <si>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</si>
  <si>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</si>
  <si>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</si>
  <si>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</si>
  <si>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</si>
  <si>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</si>
  <si>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</si>
  <si>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</si>
  <si>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</si>
  <si>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</si>
  <si>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</si>
  <si>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</si>
  <si>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</si>
  <si>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</si>
  <si>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</si>
  <si>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</si>
  <si>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</si>
  <si>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</si>
  <si>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</si>
  <si>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</si>
  <si>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</si>
  <si>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</si>
  <si>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</si>
  <si>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</si>
  <si>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</si>
  <si>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</si>
  <si>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</si>
  <si>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</si>
  <si>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</si>
  <si>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</si>
  <si>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</si>
  <si>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</si>
  <si>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</si>
  <si>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</si>
  <si>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</si>
  <si>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</si>
  <si>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</si>
  <si>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</si>
  <si>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</si>
  <si>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</si>
  <si>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</si>
  <si>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</si>
  <si>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</si>
  <si>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</si>
  <si>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</si>
  <si>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</si>
  <si>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</si>
  <si>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</si>
  <si>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</si>
  <si>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</si>
  <si>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</si>
  <si>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</si>
  <si>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</si>
  <si>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</si>
  <si>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</si>
  <si>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</si>
  <si>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</si>
  <si>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</si>
  <si>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</si>
  <si>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</si>
  <si>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</si>
  <si>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</si>
  <si>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</si>
  <si>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</si>
  <si>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</si>
  <si>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</si>
  <si>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</si>
  <si>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</si>
  <si>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</si>
  <si>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</si>
  <si>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</si>
  <si>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</si>
  <si>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</si>
  <si>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</si>
  <si>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</si>
  <si>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</si>
  <si>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</si>
  <si>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</si>
  <si>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</si>
  <si>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</si>
  <si>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</si>
  <si>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</si>
  <si>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</si>
  <si>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</si>
  <si>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</si>
  <si>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</si>
  <si>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</si>
  <si>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</si>
  <si>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</si>
  <si>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</si>
  <si>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</si>
  <si>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</si>
  <si>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</si>
  <si>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</si>
  <si>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</si>
  <si>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</si>
  <si>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</si>
  <si>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</si>
  <si>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</si>
  <si>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</si>
  <si>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</si>
  <si>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</si>
  <si>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</si>
  <si>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</si>
  <si>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</si>
  <si>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</si>
  <si>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</si>
  <si>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</si>
  <si>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</si>
  <si>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</si>
  <si>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</si>
  <si>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</si>
  <si>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</si>
  <si>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</si>
  <si>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</si>
  <si>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</si>
  <si>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</si>
  <si>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</si>
  <si>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</si>
  <si>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</si>
  <si>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</si>
  <si>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</si>
  <si>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</si>
  <si>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</si>
  <si>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</si>
  <si>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</si>
  <si>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</si>
  <si>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</si>
  <si>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</si>
  <si>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</si>
  <si>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</si>
  <si>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</si>
  <si>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</si>
  <si>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</si>
  <si>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</si>
  <si>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</si>
  <si>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</si>
  <si>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</si>
  <si>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</si>
  <si>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</si>
  <si>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</si>
  <si>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</si>
  <si>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</si>
  <si>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</si>
  <si>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</si>
  <si>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</si>
  <si>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</si>
  <si>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</si>
  <si>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</si>
  <si>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</si>
  <si>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</si>
  <si>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</si>
  <si>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</si>
  <si>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</si>
  <si>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</si>
  <si>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</si>
  <si>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</si>
  <si>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</si>
  <si>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</si>
  <si>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</si>
  <si>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</si>
  <si>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</si>
  <si>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</si>
  <si>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</si>
  <si>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</si>
  <si>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</si>
  <si>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</si>
  <si>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</si>
  <si>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</si>
  <si>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</si>
  <si>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</si>
  <si>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</si>
  <si>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</si>
  <si>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</si>
  <si>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</si>
  <si>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</si>
  <si>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</si>
  <si>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</si>
  <si>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</si>
  <si>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</si>
  <si>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</si>
  <si>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</si>
  <si>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</si>
  <si>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</si>
  <si>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</si>
  <si>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</si>
  <si>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</si>
  <si>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</si>
  <si>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</si>
  <si>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</si>
  <si>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</si>
  <si>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</si>
  <si>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</si>
  <si>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</si>
  <si>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</si>
  <si>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</si>
  <si>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</si>
  <si>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</si>
  <si>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</si>
  <si>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</si>
  <si>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</si>
  <si>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</si>
  <si>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</si>
  <si>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</si>
  <si>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</si>
  <si>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Жами ташкил этилган</t>
  </si>
  <si>
    <t>шундан</t>
  </si>
  <si>
    <t>Хатлов тоифалари бўйича жами</t>
  </si>
  <si>
    <t>Ишсиз</t>
  </si>
  <si>
    <t>Тадбиркорлик ташаббуси бор</t>
  </si>
  <si>
    <t>Ишлайди, лекин даромади паст</t>
  </si>
  <si>
    <t>Норасмий бандлар</t>
  </si>
  <si>
    <t>Ишлаш истаги йўқ</t>
  </si>
  <si>
    <r>
      <t xml:space="preserve">Сирдарё вилоятида хатлов тоифалари асосида фуқаролардан  </t>
    </r>
    <r>
      <rPr>
        <b/>
        <sz val="13"/>
        <color rgb="FFC00000"/>
        <rFont val="Calibri"/>
        <family val="2"/>
        <charset val="204"/>
      </rPr>
      <t>ЯТТ, МЧЖ ва деҳқон хўжалиги ташкил этганлар</t>
    </r>
    <r>
      <rPr>
        <b/>
        <sz val="13"/>
        <rFont val="Calibri"/>
        <family val="2"/>
        <charset val="204"/>
      </rPr>
      <t xml:space="preserve"> тўғрисида маълумот</t>
    </r>
  </si>
  <si>
    <t>15-17.10.2026 йил ҳолатига (нафар)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</si>
</sst>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"/>
    <numFmt numFmtId="166" formatCode="#,##0;\-#,##0;;@"/>
  </numFmts>
  <fonts count="20" x14ac:knownFonts="1">
    <font>
      <sz val="11"/>
      <color theme="1"/>
      <name val="Calibri"/>
      <family val="2"/>
      <charset val="1"/>
    </font>
    <font>
      <b/>
      <sz val="16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rgb="FF0000FF"/>
      <name val="Calibri"/>
      <family val="2"/>
      <charset val="204"/>
    </font>
    <font>
      <sz val="10"/>
      <color rgb="FFC00000"/>
      <name val="Calibri"/>
      <family val="2"/>
      <charset val="204"/>
    </font>
    <font>
      <b/>
      <sz val="13"/>
      <name val="Calibri"/>
      <family val="2"/>
      <charset val="204"/>
    </font>
    <font>
      <sz val="11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name val="Calibri"/>
      <family val="2"/>
      <charset val="204"/>
    </font>
    <font>
      <sz val="9"/>
      <color rgb="FF0000FF"/>
      <name val="Calibri"/>
      <family val="2"/>
      <charset val="204"/>
    </font>
    <font>
      <sz val="9"/>
      <color rgb="FF808080"/>
      <name val="Calibri"/>
      <family val="2"/>
      <charset val="204"/>
    </font>
    <font>
      <b/>
      <sz val="11"/>
      <name val="Calibri"/>
      <family val="2"/>
      <charset val="204"/>
    </font>
    <font>
      <b/>
      <sz val="14"/>
      <name val="Calibri"/>
      <family val="2"/>
      <charset val="204"/>
    </font>
    <font>
      <sz val="12"/>
      <name val="Calibri"/>
      <family val="2"/>
      <charset val="204"/>
    </font>
    <font>
      <b/>
      <sz val="13"/>
      <color rgb="FFC00000"/>
      <name val="Calibri"/>
      <family val="2"/>
      <charset val="204"/>
    </font>
    <font>
      <i/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CC"/>
      </patternFill>
    </fill>
    <fill>
      <patternFill patternType="solid">
        <fgColor rgb="FFE7F7E1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7F7E1"/>
      </patternFill>
    </fill>
    <fill>
      <patternFill patternType="solid">
        <fgColor rgb="FFFFFFCC"/>
        <bgColor rgb="FFFFF2CC"/>
      </patternFill>
    </fill>
    <fill>
      <patternFill patternType="solid">
        <fgColor rgb="FFF7F7F7"/>
        <bgColor rgb="FFEDEDED"/>
      </patternFill>
    </fill>
    <fill>
      <patternFill patternType="solid">
        <fgColor rgb="FFE7F7E1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left" vertical="center" wrapText="1"/>
    </xf>
    <xf numFmtId="4" fontId="2" fillId="8" borderId="1" xfId="0" applyNumberFormat="1" applyFont="1" applyFill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/>
    <xf numFmtId="0" fontId="11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1" fontId="0" fillId="0" borderId="0" xfId="0" applyNumberForma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15" fillId="0" borderId="0" xfId="0" applyFont="1"/>
    <xf numFmtId="0" fontId="18" fillId="0" borderId="0" xfId="0" applyFont="1"/>
    <xf numFmtId="0" fontId="11" fillId="3" borderId="0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16" fillId="10" borderId="2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166" fontId="17" fillId="11" borderId="2" xfId="0" applyNumberFormat="1" applyFont="1" applyFill="1" applyBorder="1" applyAlignment="1">
      <alignment horizontal="center" vertical="center"/>
    </xf>
    <xf numFmtId="166" fontId="17" fillId="11" borderId="7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166" fontId="17" fillId="0" borderId="2" xfId="0" applyNumberFormat="1" applyFont="1" applyBorder="1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166" fontId="17" fillId="0" borderId="9" xfId="0" applyNumberFormat="1" applyFont="1" applyBorder="1" applyAlignment="1">
      <alignment horizontal="center" vertical="center"/>
    </xf>
    <xf numFmtId="166" fontId="19" fillId="0" borderId="9" xfId="0" applyNumberFormat="1" applyFont="1" applyBorder="1" applyAlignment="1">
      <alignment horizontal="center" vertical="center"/>
    </xf>
    <xf numFmtId="166" fontId="19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7F7F7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7F7E1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3"/>
  <sheetViews>
    <sheetView zoomScaleNormal="100" workbookViewId="0">
      <selection activeCell="C3" sqref="C3"/>
    </sheetView>
  </sheetViews>
  <sheetFormatPr defaultColWidth="8.7109375" defaultRowHeight="15" x14ac:dyDescent="0.25"/>
  <cols>
    <col min="1" max="1" width="3" customWidth="1"/>
    <col min="2" max="2" width="34" customWidth="1"/>
    <col min="3" max="3" width="16" customWidth="1"/>
    <col min="4" max="23" width="14" customWidth="1"/>
  </cols>
  <sheetData>
    <row r="1" spans="2:15" ht="21" x14ac:dyDescent="0.35">
      <c r="B1" s="2" t="s">
        <v>0</v>
      </c>
    </row>
    <row r="3" spans="2:15" ht="15.75" x14ac:dyDescent="0.25">
      <c r="B3" s="3" t="s">
        <v>1</v>
      </c>
      <c r="C3" s="4">
        <v>46023</v>
      </c>
      <c r="D3" s="5" t="s">
        <v>2</v>
      </c>
    </row>
    <row r="4" spans="2:15" ht="15.75" x14ac:dyDescent="0.25">
      <c r="B4" s="3" t="s">
        <v>3</v>
      </c>
      <c r="C4" s="4">
        <v>46312</v>
      </c>
      <c r="D4" s="5" t="s">
        <v>4</v>
      </c>
    </row>
    <row r="6" spans="2:15" ht="17.100000000000001" customHeight="1" x14ac:dyDescent="0.25">
      <c r="B6" s="26" t="s">
        <v>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2:15" ht="30" customHeight="1" x14ac:dyDescent="0.25">
      <c r="B7" s="27" t="s">
        <v>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2:15" ht="30" customHeight="1" x14ac:dyDescent="0.25">
      <c r="B8" s="27" t="s">
        <v>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5" ht="15" customHeight="1" x14ac:dyDescent="0.25">
      <c r="B9" s="27" t="s">
        <v>8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5" ht="15" customHeight="1" x14ac:dyDescent="0.25">
      <c r="B10" s="27" t="s">
        <v>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5" x14ac:dyDescent="0.2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5" ht="17.100000000000001" customHeight="1" x14ac:dyDescent="0.25">
      <c r="B12" s="26" t="s">
        <v>10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2:15" ht="15" customHeight="1" x14ac:dyDescent="0.25">
      <c r="B13" s="27" t="s">
        <v>11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5" ht="15" customHeight="1" x14ac:dyDescent="0.25">
      <c r="B14" s="27" t="s">
        <v>12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5" ht="15" customHeight="1" x14ac:dyDescent="0.25">
      <c r="B15" s="27" t="s">
        <v>13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2:15" ht="15" customHeight="1" x14ac:dyDescent="0.25">
      <c r="B16" s="27" t="s">
        <v>14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2:23" ht="15" customHeight="1" x14ac:dyDescent="0.25">
      <c r="B17" s="27" t="s">
        <v>15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2:23" ht="30" customHeight="1" x14ac:dyDescent="0.25">
      <c r="B18" s="27" t="s">
        <v>16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2:23" ht="15" customHeight="1" x14ac:dyDescent="0.25">
      <c r="B19" s="28" t="s">
        <v>17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23" x14ac:dyDescent="0.2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2:23" ht="17.100000000000001" customHeight="1" x14ac:dyDescent="0.25">
      <c r="B21" s="26" t="s">
        <v>18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2:23" ht="48" customHeight="1" x14ac:dyDescent="0.25">
      <c r="B22" s="6" t="s">
        <v>19</v>
      </c>
      <c r="C22" s="6" t="s">
        <v>20</v>
      </c>
      <c r="D22" s="6" t="s">
        <v>21</v>
      </c>
      <c r="E22" s="6" t="s">
        <v>22</v>
      </c>
      <c r="F22" s="6" t="s">
        <v>23</v>
      </c>
      <c r="G22" s="6" t="s">
        <v>24</v>
      </c>
      <c r="H22" s="6" t="s">
        <v>25</v>
      </c>
      <c r="I22" s="6" t="s">
        <v>26</v>
      </c>
      <c r="J22" s="6" t="s">
        <v>27</v>
      </c>
      <c r="K22" s="6" t="s">
        <v>28</v>
      </c>
      <c r="L22" s="6" t="s">
        <v>29</v>
      </c>
      <c r="M22" s="6" t="s">
        <v>30</v>
      </c>
      <c r="N22" s="6" t="s">
        <v>31</v>
      </c>
      <c r="O22" s="6" t="s">
        <v>32</v>
      </c>
      <c r="P22" s="6" t="s">
        <v>33</v>
      </c>
      <c r="Q22" s="6" t="s">
        <v>34</v>
      </c>
      <c r="R22" s="6" t="s">
        <v>35</v>
      </c>
      <c r="S22" s="6" t="s">
        <v>36</v>
      </c>
      <c r="T22" s="6" t="s">
        <v>37</v>
      </c>
      <c r="U22" s="6" t="s">
        <v>38</v>
      </c>
      <c r="V22" s="6" t="s">
        <v>39</v>
      </c>
      <c r="W22" s="6" t="s">
        <v>40</v>
      </c>
    </row>
    <row r="23" spans="2:23" ht="36" x14ac:dyDescent="0.25">
      <c r="B23" s="7">
        <v>1</v>
      </c>
      <c r="C23" s="7" t="s">
        <v>41</v>
      </c>
      <c r="D23" s="7" t="s">
        <v>42</v>
      </c>
      <c r="E23" s="7" t="s">
        <v>43</v>
      </c>
      <c r="F23" s="7" t="s">
        <v>44</v>
      </c>
      <c r="G23" s="7" t="s">
        <v>45</v>
      </c>
      <c r="H23" s="7" t="s">
        <v>46</v>
      </c>
      <c r="I23" s="7" t="s">
        <v>47</v>
      </c>
      <c r="J23" s="7" t="s">
        <v>48</v>
      </c>
      <c r="K23" s="7" t="s">
        <v>49</v>
      </c>
      <c r="L23" s="7" t="s">
        <v>50</v>
      </c>
      <c r="M23" s="7" t="s">
        <v>51</v>
      </c>
      <c r="N23" s="7" t="s">
        <v>52</v>
      </c>
      <c r="O23" s="7" t="s">
        <v>53</v>
      </c>
      <c r="P23" s="7" t="s">
        <v>54</v>
      </c>
      <c r="Q23" s="7" t="s">
        <v>55</v>
      </c>
      <c r="R23" s="7">
        <v>50</v>
      </c>
      <c r="S23" s="7">
        <v>2</v>
      </c>
      <c r="T23" s="7">
        <v>0.15</v>
      </c>
      <c r="U23" s="7" t="s">
        <v>56</v>
      </c>
      <c r="V23" s="7" t="s">
        <v>57</v>
      </c>
      <c r="W23" s="7" t="s">
        <v>58</v>
      </c>
    </row>
  </sheetData>
  <mergeCells count="16">
    <mergeCell ref="B21:O21"/>
    <mergeCell ref="B16:O16"/>
    <mergeCell ref="B17:O17"/>
    <mergeCell ref="B18:O18"/>
    <mergeCell ref="B19:O19"/>
    <mergeCell ref="B20:O20"/>
    <mergeCell ref="B11:O11"/>
    <mergeCell ref="B12:O12"/>
    <mergeCell ref="B13:O13"/>
    <mergeCell ref="B14:O14"/>
    <mergeCell ref="B15:O15"/>
    <mergeCell ref="B6:O6"/>
    <mergeCell ref="B7:O7"/>
    <mergeCell ref="B8:O8"/>
    <mergeCell ref="B9:O9"/>
    <mergeCell ref="B10:O10"/>
  </mergeCells>
  <dataValidations count="1">
    <dataValidation type="date" sqref="C3:C4" xr:uid="{00000000-0002-0000-0000-000000000000}">
      <formula1>DATE(2020,1,1)</formula1>
      <formula2>DATE(2035,12,31)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4270-AB6A-44CD-AB3E-E708397A83BF}">
  <sheetPr>
    <tabColor rgb="FFC00000"/>
    <pageSetUpPr fitToPage="1"/>
  </sheetPr>
  <dimension ref="A1:L1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L5" sqref="L5"/>
    </sheetView>
  </sheetViews>
  <sheetFormatPr defaultRowHeight="15" x14ac:dyDescent="0.25"/>
  <cols>
    <col min="1" max="1" width="5" customWidth="1"/>
    <col min="2" max="2" width="18" customWidth="1"/>
    <col min="3" max="12" width="13" customWidth="1"/>
  </cols>
  <sheetData>
    <row r="1" spans="1:12" ht="36" customHeight="1" x14ac:dyDescent="0.25">
      <c r="A1" s="36" t="s">
        <v>1165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x14ac:dyDescent="0.25">
      <c r="A2" s="38" t="s">
        <v>1166</v>
      </c>
    </row>
    <row r="3" spans="1:12" ht="30" customHeight="1" x14ac:dyDescent="0.25">
      <c r="A3" s="41" t="s">
        <v>19</v>
      </c>
      <c r="B3" s="42" t="s">
        <v>21</v>
      </c>
      <c r="C3" s="42" t="s">
        <v>1157</v>
      </c>
      <c r="D3" s="42" t="s">
        <v>1158</v>
      </c>
      <c r="E3" s="43"/>
      <c r="F3" s="43"/>
      <c r="G3" s="42" t="s">
        <v>1159</v>
      </c>
      <c r="H3" s="42" t="s">
        <v>1158</v>
      </c>
      <c r="I3" s="43"/>
      <c r="J3" s="43"/>
      <c r="K3" s="43"/>
      <c r="L3" s="44"/>
    </row>
    <row r="4" spans="1:12" ht="45" customHeight="1" x14ac:dyDescent="0.25">
      <c r="A4" s="45"/>
      <c r="B4" s="46"/>
      <c r="C4" s="46"/>
      <c r="D4" s="47" t="s">
        <v>91</v>
      </c>
      <c r="E4" s="47" t="s">
        <v>95</v>
      </c>
      <c r="F4" s="47" t="s">
        <v>49</v>
      </c>
      <c r="G4" s="46"/>
      <c r="H4" s="47" t="s">
        <v>1160</v>
      </c>
      <c r="I4" s="47" t="s">
        <v>1161</v>
      </c>
      <c r="J4" s="47" t="s">
        <v>1162</v>
      </c>
      <c r="K4" s="47" t="s">
        <v>1163</v>
      </c>
      <c r="L4" s="48" t="s">
        <v>1164</v>
      </c>
    </row>
    <row r="5" spans="1:12" s="39" customFormat="1" ht="27.95" customHeight="1" x14ac:dyDescent="0.25">
      <c r="A5" s="49"/>
      <c r="B5" s="50" t="s">
        <v>71</v>
      </c>
      <c r="C5" s="51">
        <f>+D5+E5+F5</f>
        <v>516</v>
      </c>
      <c r="D5" s="51">
        <f>SUM(D6:D16)</f>
        <v>278</v>
      </c>
      <c r="E5" s="51">
        <f>SUM(E6:E16)</f>
        <v>0</v>
      </c>
      <c r="F5" s="51">
        <f>SUM(F6:F16)</f>
        <v>238</v>
      </c>
      <c r="G5" s="51">
        <f>SUM(G6:G16)</f>
        <v>516</v>
      </c>
      <c r="H5" s="51">
        <f>SUM(H6:H16)</f>
        <v>54</v>
      </c>
      <c r="I5" s="51">
        <f>SUM(I6:I16)</f>
        <v>228</v>
      </c>
      <c r="J5" s="51">
        <f>SUM(J6:J16)</f>
        <v>11</v>
      </c>
      <c r="K5" s="51">
        <f>SUM(K6:K16)</f>
        <v>210</v>
      </c>
      <c r="L5" s="52">
        <f>SUM(L6:L16)</f>
        <v>13</v>
      </c>
    </row>
    <row r="6" spans="1:12" s="39" customFormat="1" ht="27.95" customHeight="1" x14ac:dyDescent="0.25">
      <c r="A6" s="53">
        <v>1</v>
      </c>
      <c r="B6" s="54" t="s">
        <v>242</v>
      </c>
      <c r="C6" s="55">
        <f t="shared" ref="C6:C16" si="0">+D6+E6+F6</f>
        <v>62</v>
      </c>
      <c r="D6" s="56">
        <v>32</v>
      </c>
      <c r="E6" s="56">
        <v>0</v>
      </c>
      <c r="F6" s="56">
        <v>30</v>
      </c>
      <c r="G6" s="55">
        <f>+H6+I6+J6+K6+L6</f>
        <v>62</v>
      </c>
      <c r="H6" s="56">
        <f>+COUNTIFS('Номма-ном'!C:C,'Тоифалар кесимида'!B6,'Номма-ном'!W:W,'Тоифалар кесимида'!$H$4)</f>
        <v>6</v>
      </c>
      <c r="I6" s="56">
        <f>+COUNTIFS('Номма-ном'!C:C,'Тоифалар кесимида'!B6,'Номма-ном'!W:W,'Тоифалар кесимида'!$I$4)</f>
        <v>20</v>
      </c>
      <c r="J6" s="56">
        <f>+COUNTIFS('Номма-ном'!C:C,'Тоифалар кесимида'!B6,'Номма-ном'!W:W,'Тоифалар кесимида'!$J$4)</f>
        <v>1</v>
      </c>
      <c r="K6" s="56">
        <f>+COUNTIFS('Номма-ном'!C:C,'Тоифалар кесимида'!B6,'Номма-ном'!W:W,'Тоифалар кесимида'!$K$4)</f>
        <v>35</v>
      </c>
      <c r="L6" s="57">
        <f>+COUNTIFS('Номма-ном'!C:C,'Тоифалар кесимида'!B6,'Номма-ном'!W:W,'Тоифалар кесимида'!$L$4)</f>
        <v>0</v>
      </c>
    </row>
    <row r="7" spans="1:12" s="39" customFormat="1" ht="27.95" customHeight="1" x14ac:dyDescent="0.25">
      <c r="A7" s="53">
        <v>2</v>
      </c>
      <c r="B7" s="54" t="s">
        <v>243</v>
      </c>
      <c r="C7" s="55">
        <f t="shared" si="0"/>
        <v>38</v>
      </c>
      <c r="D7" s="56">
        <v>26</v>
      </c>
      <c r="E7" s="56">
        <v>0</v>
      </c>
      <c r="F7" s="56">
        <v>12</v>
      </c>
      <c r="G7" s="55">
        <f t="shared" ref="G7:G16" si="1">+H7+I7+J7+K7+L7</f>
        <v>38</v>
      </c>
      <c r="H7" s="56">
        <f>+COUNTIFS('Номма-ном'!C:C,'Тоифалар кесимида'!B7,'Номма-ном'!W:W,'Тоифалар кесимида'!$H$4)</f>
        <v>1</v>
      </c>
      <c r="I7" s="56">
        <f>+COUNTIFS('Номма-ном'!C:C,'Тоифалар кесимида'!B7,'Номма-ном'!W:W,'Тоифалар кесимида'!$I$4)</f>
        <v>20</v>
      </c>
      <c r="J7" s="56">
        <f>+COUNTIFS('Номма-ном'!C:C,'Тоифалар кесимида'!B7,'Номма-ном'!W:W,'Тоифалар кесимида'!$J$4)</f>
        <v>2</v>
      </c>
      <c r="K7" s="56">
        <f>+COUNTIFS('Номма-ном'!C:C,'Тоифалар кесимида'!B7,'Номма-ном'!W:W,'Тоифалар кесимида'!$K$4)</f>
        <v>13</v>
      </c>
      <c r="L7" s="57">
        <f>+COUNTIFS('Номма-ном'!C:C,'Тоифалар кесимида'!B7,'Номма-ном'!W:W,'Тоифалар кесимида'!$L$4)</f>
        <v>2</v>
      </c>
    </row>
    <row r="8" spans="1:12" s="39" customFormat="1" ht="27.95" customHeight="1" x14ac:dyDescent="0.25">
      <c r="A8" s="53">
        <v>3</v>
      </c>
      <c r="B8" s="54" t="s">
        <v>244</v>
      </c>
      <c r="C8" s="55">
        <f t="shared" si="0"/>
        <v>59</v>
      </c>
      <c r="D8" s="56">
        <v>27</v>
      </c>
      <c r="E8" s="56">
        <v>0</v>
      </c>
      <c r="F8" s="56">
        <v>32</v>
      </c>
      <c r="G8" s="55">
        <f t="shared" si="1"/>
        <v>59</v>
      </c>
      <c r="H8" s="56">
        <f>+COUNTIFS('Номма-ном'!C:C,'Тоифалар кесимида'!B8,'Номма-ном'!W:W,'Тоифалар кесимида'!$H$4)</f>
        <v>5</v>
      </c>
      <c r="I8" s="56">
        <f>+COUNTIFS('Номма-ном'!C:C,'Тоифалар кесимида'!B8,'Номма-ном'!W:W,'Тоифалар кесимида'!$I$4)</f>
        <v>35</v>
      </c>
      <c r="J8" s="56">
        <f>+COUNTIFS('Номма-ном'!C:C,'Тоифалар кесимида'!B8,'Номма-ном'!W:W,'Тоифалар кесимида'!$J$4)</f>
        <v>1</v>
      </c>
      <c r="K8" s="56">
        <f>+COUNTIFS('Номма-ном'!C:C,'Тоифалар кесимида'!B8,'Номма-ном'!W:W,'Тоифалар кесимида'!$K$4)</f>
        <v>15</v>
      </c>
      <c r="L8" s="57">
        <f>+COUNTIFS('Номма-ном'!C:C,'Тоифалар кесимида'!B8,'Номма-ном'!W:W,'Тоифалар кесимида'!$L$4)</f>
        <v>3</v>
      </c>
    </row>
    <row r="9" spans="1:12" s="39" customFormat="1" ht="27.95" customHeight="1" x14ac:dyDescent="0.25">
      <c r="A9" s="53">
        <v>4</v>
      </c>
      <c r="B9" s="54" t="s">
        <v>245</v>
      </c>
      <c r="C9" s="55">
        <f t="shared" si="0"/>
        <v>16</v>
      </c>
      <c r="D9" s="56">
        <v>7</v>
      </c>
      <c r="E9" s="56">
        <v>0</v>
      </c>
      <c r="F9" s="56">
        <v>9</v>
      </c>
      <c r="G9" s="55">
        <f t="shared" si="1"/>
        <v>16</v>
      </c>
      <c r="H9" s="56">
        <f>+COUNTIFS('Номма-ном'!C:C,'Тоифалар кесимида'!B9,'Номма-ном'!W:W,'Тоифалар кесимида'!$H$4)</f>
        <v>0</v>
      </c>
      <c r="I9" s="56">
        <f>+COUNTIFS('Номма-ном'!C:C,'Тоифалар кесимида'!B9,'Номма-ном'!W:W,'Тоифалар кесимида'!$I$4)</f>
        <v>7</v>
      </c>
      <c r="J9" s="56">
        <f>+COUNTIFS('Номма-ном'!C:C,'Тоифалар кесимида'!B9,'Номма-ном'!W:W,'Тоифалар кесимида'!$J$4)</f>
        <v>0</v>
      </c>
      <c r="K9" s="56">
        <f>+COUNTIFS('Номма-ном'!C:C,'Тоифалар кесимида'!B9,'Номма-ном'!W:W,'Тоифалар кесимида'!$K$4)</f>
        <v>8</v>
      </c>
      <c r="L9" s="57">
        <f>+COUNTIFS('Номма-ном'!C:C,'Тоифалар кесимида'!B9,'Номма-ном'!W:W,'Тоифалар кесимида'!$L$4)</f>
        <v>1</v>
      </c>
    </row>
    <row r="10" spans="1:12" s="39" customFormat="1" ht="27.95" customHeight="1" x14ac:dyDescent="0.25">
      <c r="A10" s="53">
        <v>5</v>
      </c>
      <c r="B10" s="54" t="s">
        <v>246</v>
      </c>
      <c r="C10" s="55">
        <f t="shared" si="0"/>
        <v>45</v>
      </c>
      <c r="D10" s="56">
        <v>16</v>
      </c>
      <c r="E10" s="56">
        <v>0</v>
      </c>
      <c r="F10" s="56">
        <v>29</v>
      </c>
      <c r="G10" s="55">
        <f t="shared" si="1"/>
        <v>45</v>
      </c>
      <c r="H10" s="56">
        <f>+COUNTIFS('Номма-ном'!C:C,'Тоифалар кесимида'!B10,'Номма-ном'!W:W,'Тоифалар кесимида'!$H$4)</f>
        <v>5</v>
      </c>
      <c r="I10" s="56">
        <f>+COUNTIFS('Номма-ном'!C:C,'Тоифалар кесимида'!B10,'Номма-ном'!W:W,'Тоифалар кесимида'!$I$4)</f>
        <v>18</v>
      </c>
      <c r="J10" s="56">
        <f>+COUNTIFS('Номма-ном'!C:C,'Тоифалар кесимида'!B10,'Номма-ном'!W:W,'Тоифалар кесимида'!$J$4)</f>
        <v>0</v>
      </c>
      <c r="K10" s="56">
        <f>+COUNTIFS('Номма-ном'!C:C,'Тоифалар кесимида'!B10,'Номма-ном'!W:W,'Тоифалар кесимида'!$K$4)</f>
        <v>22</v>
      </c>
      <c r="L10" s="57">
        <f>+COUNTIFS('Номма-ном'!C:C,'Тоифалар кесимида'!B10,'Номма-ном'!W:W,'Тоифалар кесимида'!$L$4)</f>
        <v>0</v>
      </c>
    </row>
    <row r="11" spans="1:12" s="39" customFormat="1" ht="27.95" customHeight="1" x14ac:dyDescent="0.25">
      <c r="A11" s="53">
        <v>6</v>
      </c>
      <c r="B11" s="54" t="s">
        <v>42</v>
      </c>
      <c r="C11" s="55">
        <f t="shared" si="0"/>
        <v>39</v>
      </c>
      <c r="D11" s="56">
        <v>15</v>
      </c>
      <c r="E11" s="56">
        <v>0</v>
      </c>
      <c r="F11" s="56">
        <v>24</v>
      </c>
      <c r="G11" s="55">
        <f t="shared" si="1"/>
        <v>39</v>
      </c>
      <c r="H11" s="56">
        <f>+COUNTIFS('Номма-ном'!C:C,'Тоифалар кесимида'!B11,'Номма-ном'!W:W,'Тоифалар кесимида'!$H$4)</f>
        <v>7</v>
      </c>
      <c r="I11" s="56">
        <f>+COUNTIFS('Номма-ном'!C:C,'Тоифалар кесимида'!B11,'Номма-ном'!W:W,'Тоифалар кесимида'!$I$4)</f>
        <v>8</v>
      </c>
      <c r="J11" s="56">
        <f>+COUNTIFS('Номма-ном'!C:C,'Тоифалар кесимида'!B11,'Номма-ном'!W:W,'Тоифалар кесимида'!$J$4)</f>
        <v>1</v>
      </c>
      <c r="K11" s="56">
        <f>+COUNTIFS('Номма-ном'!C:C,'Тоифалар кесимида'!B11,'Номма-ном'!W:W,'Тоифалар кесимида'!$K$4)</f>
        <v>23</v>
      </c>
      <c r="L11" s="57">
        <f>+COUNTIFS('Номма-ном'!C:C,'Тоифалар кесимида'!B11,'Номма-ном'!W:W,'Тоифалар кесимида'!$L$4)</f>
        <v>0</v>
      </c>
    </row>
    <row r="12" spans="1:12" s="39" customFormat="1" ht="27.95" customHeight="1" x14ac:dyDescent="0.25">
      <c r="A12" s="53">
        <v>7</v>
      </c>
      <c r="B12" s="54" t="s">
        <v>247</v>
      </c>
      <c r="C12" s="55">
        <f t="shared" si="0"/>
        <v>103</v>
      </c>
      <c r="D12" s="56">
        <v>61</v>
      </c>
      <c r="E12" s="56">
        <v>0</v>
      </c>
      <c r="F12" s="56">
        <v>42</v>
      </c>
      <c r="G12" s="55">
        <f t="shared" si="1"/>
        <v>103</v>
      </c>
      <c r="H12" s="56">
        <f>+COUNTIFS('Номма-ном'!C:C,'Тоифалар кесимида'!B12,'Номма-ном'!W:W,'Тоифалар кесимида'!$H$4)</f>
        <v>15</v>
      </c>
      <c r="I12" s="56">
        <f>+COUNTIFS('Номма-ном'!C:C,'Тоифалар кесимида'!B12,'Номма-ном'!W:W,'Тоифалар кесимида'!$I$4)</f>
        <v>63</v>
      </c>
      <c r="J12" s="56">
        <f>+COUNTIFS('Номма-ном'!C:C,'Тоифалар кесимида'!B12,'Номма-ном'!W:W,'Тоифалар кесимида'!$J$4)</f>
        <v>3</v>
      </c>
      <c r="K12" s="56">
        <f>+COUNTIFS('Номма-ном'!C:C,'Тоифалар кесимида'!B12,'Номма-ном'!W:W,'Тоифалар кесимида'!$K$4)</f>
        <v>17</v>
      </c>
      <c r="L12" s="57">
        <f>+COUNTIFS('Номма-ном'!C:C,'Тоифалар кесимида'!B12,'Номма-ном'!W:W,'Тоифалар кесимида'!$L$4)</f>
        <v>5</v>
      </c>
    </row>
    <row r="13" spans="1:12" s="39" customFormat="1" ht="27.95" customHeight="1" x14ac:dyDescent="0.25">
      <c r="A13" s="53">
        <v>8</v>
      </c>
      <c r="B13" s="54" t="s">
        <v>248</v>
      </c>
      <c r="C13" s="55">
        <f t="shared" si="0"/>
        <v>76</v>
      </c>
      <c r="D13" s="56">
        <v>27</v>
      </c>
      <c r="E13" s="56">
        <v>0</v>
      </c>
      <c r="F13" s="56">
        <v>49</v>
      </c>
      <c r="G13" s="55">
        <f t="shared" si="1"/>
        <v>76</v>
      </c>
      <c r="H13" s="56">
        <f>+COUNTIFS('Номма-ном'!C:C,'Тоифалар кесимида'!B13,'Номма-ном'!W:W,'Тоифалар кесимида'!$H$4)</f>
        <v>8</v>
      </c>
      <c r="I13" s="56">
        <f>+COUNTIFS('Номма-ном'!C:C,'Тоифалар кесимида'!B13,'Номма-ном'!W:W,'Тоифалар кесимида'!$I$4)</f>
        <v>25</v>
      </c>
      <c r="J13" s="56">
        <f>+COUNTIFS('Номма-ном'!C:C,'Тоифалар кесимида'!B13,'Номма-ном'!W:W,'Тоифалар кесимида'!$J$4)</f>
        <v>1</v>
      </c>
      <c r="K13" s="56">
        <f>+COUNTIFS('Номма-ном'!C:C,'Тоифалар кесимида'!B13,'Номма-ном'!W:W,'Тоифалар кесимида'!$K$4)</f>
        <v>42</v>
      </c>
      <c r="L13" s="57">
        <f>+COUNTIFS('Номма-ном'!C:C,'Тоифалар кесимида'!B13,'Номма-ном'!W:W,'Тоифалар кесимида'!$L$4)</f>
        <v>0</v>
      </c>
    </row>
    <row r="14" spans="1:12" s="39" customFormat="1" ht="27.95" customHeight="1" x14ac:dyDescent="0.25">
      <c r="A14" s="53">
        <v>9</v>
      </c>
      <c r="B14" s="54" t="s">
        <v>249</v>
      </c>
      <c r="C14" s="55">
        <f t="shared" si="0"/>
        <v>61</v>
      </c>
      <c r="D14" s="56">
        <v>50</v>
      </c>
      <c r="E14" s="56">
        <v>0</v>
      </c>
      <c r="F14" s="56">
        <v>11</v>
      </c>
      <c r="G14" s="55">
        <f t="shared" si="1"/>
        <v>61</v>
      </c>
      <c r="H14" s="56">
        <f>+COUNTIFS('Номма-ном'!C:C,'Тоифалар кесимида'!B14,'Номма-ном'!W:W,'Тоифалар кесимида'!$H$4)</f>
        <v>4</v>
      </c>
      <c r="I14" s="56">
        <f>+COUNTIFS('Номма-ном'!C:C,'Тоифалар кесимида'!B14,'Номма-ном'!W:W,'Тоифалар кесимида'!$I$4)</f>
        <v>31</v>
      </c>
      <c r="J14" s="56">
        <f>+COUNTIFS('Номма-ном'!C:C,'Тоифалар кесимида'!B14,'Номма-ном'!W:W,'Тоифалар кесимида'!$J$4)</f>
        <v>0</v>
      </c>
      <c r="K14" s="56">
        <f>+COUNTIFS('Номма-ном'!C:C,'Тоифалар кесимида'!B14,'Номма-ном'!W:W,'Тоифалар кесимида'!$K$4)</f>
        <v>25</v>
      </c>
      <c r="L14" s="57">
        <f>+COUNTIFS('Номма-ном'!C:C,'Тоифалар кесимида'!B14,'Номма-ном'!W:W,'Тоифалар кесимида'!$L$4)</f>
        <v>1</v>
      </c>
    </row>
    <row r="15" spans="1:12" s="39" customFormat="1" ht="27.95" customHeight="1" x14ac:dyDescent="0.25">
      <c r="A15" s="53">
        <v>10</v>
      </c>
      <c r="B15" s="54" t="s">
        <v>250</v>
      </c>
      <c r="C15" s="55">
        <f t="shared" si="0"/>
        <v>9</v>
      </c>
      <c r="D15" s="56">
        <v>9</v>
      </c>
      <c r="E15" s="56">
        <v>0</v>
      </c>
      <c r="F15" s="56">
        <v>0</v>
      </c>
      <c r="G15" s="55">
        <f t="shared" si="1"/>
        <v>9</v>
      </c>
      <c r="H15" s="56">
        <f>+COUNTIFS('Номма-ном'!C:C,'Тоифалар кесимида'!B15,'Номма-ном'!W:W,'Тоифалар кесимида'!$H$4)</f>
        <v>2</v>
      </c>
      <c r="I15" s="56">
        <f>+COUNTIFS('Номма-ном'!C:C,'Тоифалар кесимида'!B15,'Номма-ном'!W:W,'Тоифалар кесимида'!$I$4)</f>
        <v>1</v>
      </c>
      <c r="J15" s="56">
        <f>+COUNTIFS('Номма-ном'!C:C,'Тоифалар кесимида'!B15,'Номма-ном'!W:W,'Тоифалар кесимида'!$J$4)</f>
        <v>1</v>
      </c>
      <c r="K15" s="56">
        <f>+COUNTIFS('Номма-ном'!C:C,'Тоифалар кесимида'!B15,'Номма-ном'!W:W,'Тоифалар кесимида'!$K$4)</f>
        <v>4</v>
      </c>
      <c r="L15" s="57">
        <f>+COUNTIFS('Номма-ном'!C:C,'Тоифалар кесимида'!B15,'Номма-ном'!W:W,'Тоифалар кесимида'!$L$4)</f>
        <v>1</v>
      </c>
    </row>
    <row r="16" spans="1:12" s="39" customFormat="1" ht="27.95" customHeight="1" x14ac:dyDescent="0.25">
      <c r="A16" s="58">
        <v>11</v>
      </c>
      <c r="B16" s="59" t="s">
        <v>251</v>
      </c>
      <c r="C16" s="60">
        <f t="shared" si="0"/>
        <v>8</v>
      </c>
      <c r="D16" s="61">
        <v>8</v>
      </c>
      <c r="E16" s="61">
        <v>0</v>
      </c>
      <c r="F16" s="61">
        <v>0</v>
      </c>
      <c r="G16" s="60">
        <f t="shared" si="1"/>
        <v>8</v>
      </c>
      <c r="H16" s="61">
        <f>+COUNTIFS('Номма-ном'!C:C,'Тоифалар кесимида'!B16,'Номма-ном'!W:W,'Тоифалар кесимида'!$H$4)</f>
        <v>1</v>
      </c>
      <c r="I16" s="61">
        <f>+COUNTIFS('Номма-ном'!C:C,'Тоифалар кесимида'!B16,'Номма-ном'!W:W,'Тоифалар кесимида'!$I$4)</f>
        <v>0</v>
      </c>
      <c r="J16" s="61">
        <f>+COUNTIFS('Номма-ном'!C:C,'Тоифалар кесимида'!B16,'Номма-ном'!W:W,'Тоифалар кесимида'!$J$4)</f>
        <v>1</v>
      </c>
      <c r="K16" s="61">
        <f>+COUNTIFS('Номма-ном'!C:C,'Тоифалар кесимида'!B16,'Номма-ном'!W:W,'Тоифалар кесимида'!$K$4)</f>
        <v>6</v>
      </c>
      <c r="L16" s="62">
        <f>+COUNTIFS('Номма-ном'!C:C,'Тоифалар кесимида'!B16,'Номма-ном'!W:W,'Тоифалар кесимида'!$L$4)</f>
        <v>0</v>
      </c>
    </row>
  </sheetData>
  <mergeCells count="7">
    <mergeCell ref="A1:L1"/>
    <mergeCell ref="A3:A4"/>
    <mergeCell ref="B3:B4"/>
    <mergeCell ref="C3:C4"/>
    <mergeCell ref="D3:F3"/>
    <mergeCell ref="G3:G4"/>
    <mergeCell ref="H3:L3"/>
  </mergeCells>
  <printOptions horizontalCentered="1"/>
  <pageMargins left="0.19685039370078741" right="0.19685039370078741" top="0.39370078740157483" bottom="0.19685039370078741" header="0.19685039370078741" footer="0.19685039370078741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7"/>
  <sheetViews>
    <sheetView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ColWidth="8.7109375" defaultRowHeight="15" x14ac:dyDescent="0.25"/>
  <cols>
    <col min="1" max="1" width="5" customWidth="1"/>
    <col min="2" max="2" width="24" customWidth="1"/>
    <col min="3" max="16" width="11" customWidth="1"/>
    <col min="18" max="18" width="20" customWidth="1"/>
  </cols>
  <sheetData>
    <row r="1" spans="1:18" ht="39.75" customHeight="1" x14ac:dyDescent="0.25">
      <c r="A1" s="29" t="str">
        <f>"ЯТТ, МЧЖ ва деҳқон хўжалиги ташкил этганлар тўғрисида МАЪЛУМОТ ("&amp;$R$2&amp;" вилояти бўйича)"</f>
        <v>ЯТТ, МЧЖ ва деҳқон хўжалиги ташкил этганлар тўғрисида МАЪЛУМОТ (Сирдарё вилояти бўйича)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8" ht="15.75" x14ac:dyDescent="0.25">
      <c r="B2" s="24" t="s">
        <v>60</v>
      </c>
      <c r="C2" s="30">
        <f>Йўриқнома!$C$4</f>
        <v>46312</v>
      </c>
      <c r="D2" s="30"/>
      <c r="Q2" s="14" t="s">
        <v>85</v>
      </c>
      <c r="R2" s="22" t="s">
        <v>41</v>
      </c>
    </row>
    <row r="3" spans="1:18" ht="36" customHeight="1" x14ac:dyDescent="0.25">
      <c r="A3" s="31" t="s">
        <v>19</v>
      </c>
      <c r="B3" s="31" t="s">
        <v>86</v>
      </c>
      <c r="C3" s="32" t="s">
        <v>61</v>
      </c>
      <c r="D3" s="32"/>
      <c r="E3" s="32"/>
      <c r="F3" s="33" t="s">
        <v>62</v>
      </c>
      <c r="G3" s="33"/>
      <c r="H3" s="33"/>
      <c r="I3" s="34" t="s">
        <v>63</v>
      </c>
      <c r="J3" s="34"/>
      <c r="K3" s="34"/>
      <c r="L3" s="34"/>
      <c r="M3" s="35" t="s">
        <v>64</v>
      </c>
      <c r="N3" s="35"/>
      <c r="O3" s="35"/>
      <c r="P3" s="35"/>
    </row>
    <row r="4" spans="1:18" ht="39.75" customHeight="1" x14ac:dyDescent="0.25">
      <c r="A4" s="31"/>
      <c r="B4" s="31"/>
      <c r="C4" s="32" t="s">
        <v>65</v>
      </c>
      <c r="D4" s="32" t="s">
        <v>66</v>
      </c>
      <c r="E4" s="32" t="s">
        <v>67</v>
      </c>
      <c r="F4" s="33" t="s">
        <v>65</v>
      </c>
      <c r="G4" s="33" t="s">
        <v>66</v>
      </c>
      <c r="H4" s="33" t="s">
        <v>67</v>
      </c>
      <c r="I4" s="34" t="s">
        <v>65</v>
      </c>
      <c r="J4" s="34" t="s">
        <v>66</v>
      </c>
      <c r="K4" s="34" t="s">
        <v>67</v>
      </c>
      <c r="L4" s="34" t="s">
        <v>68</v>
      </c>
      <c r="M4" s="35" t="s">
        <v>65</v>
      </c>
      <c r="N4" s="35" t="s">
        <v>66</v>
      </c>
      <c r="O4" s="35" t="s">
        <v>67</v>
      </c>
      <c r="P4" s="35" t="s">
        <v>69</v>
      </c>
    </row>
    <row r="5" spans="1:18" ht="39.75" customHeight="1" x14ac:dyDescent="0.25">
      <c r="A5" s="31"/>
      <c r="B5" s="31"/>
      <c r="C5" s="32"/>
      <c r="D5" s="32"/>
      <c r="E5" s="32"/>
      <c r="F5" s="33"/>
      <c r="G5" s="33"/>
      <c r="H5" s="33"/>
      <c r="I5" s="34"/>
      <c r="J5" s="34"/>
      <c r="K5" s="34"/>
      <c r="L5" s="34"/>
      <c r="M5" s="35"/>
      <c r="N5" s="35"/>
      <c r="O5" s="35"/>
      <c r="P5" s="35"/>
    </row>
    <row r="6" spans="1:18" ht="15.75" x14ac:dyDescent="0.25">
      <c r="A6" s="15" t="s">
        <v>70</v>
      </c>
      <c r="B6" s="16" t="s">
        <v>71</v>
      </c>
      <c r="C6" s="15">
        <f t="shared" ref="C6:P6" si="0">SUM(C7:C17)</f>
        <v>516</v>
      </c>
      <c r="D6" s="15">
        <f t="shared" si="0"/>
        <v>21</v>
      </c>
      <c r="E6" s="15">
        <f t="shared" si="0"/>
        <v>0</v>
      </c>
      <c r="F6" s="15">
        <f t="shared" si="0"/>
        <v>278</v>
      </c>
      <c r="G6" s="15">
        <f t="shared" si="0"/>
        <v>19</v>
      </c>
      <c r="H6" s="15">
        <f t="shared" si="0"/>
        <v>0</v>
      </c>
      <c r="I6" s="15">
        <f t="shared" si="0"/>
        <v>0</v>
      </c>
      <c r="J6" s="15">
        <f t="shared" si="0"/>
        <v>0</v>
      </c>
      <c r="K6" s="15">
        <f t="shared" si="0"/>
        <v>0</v>
      </c>
      <c r="L6" s="15">
        <f t="shared" si="0"/>
        <v>0</v>
      </c>
      <c r="M6" s="15">
        <f t="shared" si="0"/>
        <v>238</v>
      </c>
      <c r="N6" s="15">
        <f t="shared" si="0"/>
        <v>2</v>
      </c>
      <c r="O6" s="15">
        <f t="shared" si="0"/>
        <v>0</v>
      </c>
      <c r="P6" s="17">
        <f t="shared" si="0"/>
        <v>238</v>
      </c>
    </row>
    <row r="7" spans="1:18" ht="29.25" customHeight="1" x14ac:dyDescent="0.25">
      <c r="A7" s="18">
        <f>IF(B7="","",1)</f>
        <v>1</v>
      </c>
      <c r="B7" s="19" t="str">
        <f>IFERROR(IF(INDEX(Маълумотнома!$A:$A,MATCH($R$2,Маълумотнома!$A:$A,0)+0)=$R$2,INDEX(Маълумотнома!$B:$B,MATCH($R$2,Маълумотнома!$A:$A,0)+0),""),"")</f>
        <v>Боёвут</v>
      </c>
      <c r="C7" s="20">
        <f t="shared" ref="C7:C17" si="1">IF($B7="","",F7+I7+M7)</f>
        <v>62</v>
      </c>
      <c r="D7" s="20">
        <f t="shared" ref="D7:D17" si="2">IF($B7="","",G7+J7+N7)</f>
        <v>5</v>
      </c>
      <c r="E7" s="20">
        <f t="shared" ref="E7:E17" si="3">IF($B7="","",H7+K7+O7)</f>
        <v>0</v>
      </c>
      <c r="F7" s="18">
        <f>IF($B7="","",COUNTIFS('Номма-ном'!$B:$B,$R$2,'Номма-ном'!$C:$C,$B7,'Номма-ном'!$J:$J,"ЯТТ",'Номма-ном'!$M:$M,"&gt;="&amp;Йўриқнома!$C$3,'Номма-ном'!$M:$M,"&lt;="&amp;Йўриқнома!$C$4))</f>
        <v>32</v>
      </c>
      <c r="G7" s="18">
        <f>IF($B7="","",COUNTIFS('Номма-ном'!$B:$B,$R$2,'Номма-ном'!$C:$C,$B7,'Номма-ном'!$J:$J,"ЯТТ",'Номма-ном'!$M:$M,"&gt;="&amp;Йўриқнома!$C$3,'Номма-ном'!$M:$M,"&lt;="&amp;Йўриқнома!$C$4,'Номма-ном'!$O:$O,"Ҳа"))</f>
        <v>5</v>
      </c>
      <c r="H7" s="18">
        <f>IF($B7="","",COUNTIFS('Номма-ном'!$B:$B,$R$2,'Номма-ном'!$C:$C,$B7,'Номма-ном'!$J:$J,"ЯТТ",'Номма-ном'!$M:$M,Йўриқнома!$C$4))</f>
        <v>0</v>
      </c>
      <c r="I7" s="18">
        <f>IF($B7="","",COUNTIFS('Номма-ном'!$B:$B,$R$2,'Номма-ном'!$C:$C,$B7,'Номма-ном'!$J:$J,"МЧЖ",'Номма-ном'!$M:$M,"&gt;="&amp;Йўриқнома!$C$3,'Номма-ном'!$M:$M,"&lt;="&amp;Йўриқнома!$C$4))</f>
        <v>0</v>
      </c>
      <c r="J7" s="18">
        <f>IF($B7="","",COUNTIFS('Номма-ном'!$B:$B,$R$2,'Номма-ном'!$C:$C,$B7,'Номма-ном'!$J:$J,"МЧЖ",'Номма-ном'!$M:$M,"&gt;="&amp;Йўриқнома!$C$3,'Номма-ном'!$M:$M,"&lt;="&amp;Йўриқнома!$C$4,'Номма-ном'!$O:$O,"Ҳа"))</f>
        <v>0</v>
      </c>
      <c r="K7" s="18">
        <f>IF($B7="","",COUNTIFS('Номма-ном'!$B:$B,$R$2,'Номма-ном'!$C:$C,$B7,'Номма-ном'!$J:$J,"МЧЖ",'Номма-ном'!$M:$M,Йўриқнома!$C$4))</f>
        <v>0</v>
      </c>
      <c r="L7" s="18">
        <f>IF($B7="","",SUMIFS('Номма-ном'!$R:$R,'Номма-ном'!$B:$B,$R$2,'Номма-ном'!$C:$C,$B7,'Номма-ном'!$J:$J,"МЧЖ",'Номма-ном'!$M:$M,"&gt;="&amp;Йўриқнома!$C$3,'Номма-ном'!$M:$M,"&lt;="&amp;Йўриқнома!$C$4))</f>
        <v>0</v>
      </c>
      <c r="M7" s="18">
        <f>IF($B7="","",COUNTIFS('Номма-ном'!$B:$B,$R$2,'Номма-ном'!$C:$C,$B7,'Номма-ном'!$J:$J,"Деҳқон хўжалиги",'Номма-ном'!$M:$M,"&gt;="&amp;Йўриқнома!$C$3,'Номма-ном'!$M:$M,"&lt;="&amp;Йўриқнома!$C$4))</f>
        <v>30</v>
      </c>
      <c r="N7" s="18">
        <f>IF($B7="","",COUNTIFS('Номма-ном'!$B:$B,$R$2,'Номма-ном'!$C:$C,$B7,'Номма-ном'!$J:$J,"Деҳқон хўжалиги",'Номма-ном'!$M:$M,"&gt;="&amp;Йўриқнома!$C$3,'Номма-ном'!$M:$M,"&lt;="&amp;Йўриқнома!$C$4,'Номма-ном'!$O:$O,"Ҳа"))</f>
        <v>0</v>
      </c>
      <c r="O7" s="18">
        <f>IF($B7="","",COUNTIFS('Номма-ном'!$B:$B,$R$2,'Номма-ном'!$C:$C,$B7,'Номма-ном'!$J:$J,"Деҳқон хўжалиги",'Номма-ном'!$M:$M,Йўриқнома!$C$4))</f>
        <v>0</v>
      </c>
      <c r="P7" s="21">
        <f>IF($B7="","",SUMIFS('Номма-ном'!$S:$S,'Номма-ном'!$B:$B,$R$2,'Номма-ном'!$C:$C,$B7,'Номма-ном'!$J:$J,"Деҳқон хўжалиги",'Номма-ном'!$M:$M,"&gt;="&amp;Йўриқнома!$C$3,'Номма-ном'!$M:$M,"&lt;="&amp;Йўриқнома!$C$4))</f>
        <v>30</v>
      </c>
    </row>
    <row r="8" spans="1:18" ht="29.25" customHeight="1" x14ac:dyDescent="0.25">
      <c r="A8" s="18">
        <f>IF(B8="","",2)</f>
        <v>2</v>
      </c>
      <c r="B8" s="19" t="str">
        <f>IFERROR(IF(INDEX(Маълумотнома!$A:$A,MATCH($R$2,Маълумотнома!$A:$A,0)+1)=$R$2,INDEX(Маълумотнома!$B:$B,MATCH($R$2,Маълумотнома!$A:$A,0)+1),""),"")</f>
        <v>Гулистон тумани</v>
      </c>
      <c r="C8" s="20">
        <f t="shared" si="1"/>
        <v>38</v>
      </c>
      <c r="D8" s="20">
        <f t="shared" si="2"/>
        <v>2</v>
      </c>
      <c r="E8" s="20">
        <f t="shared" si="3"/>
        <v>0</v>
      </c>
      <c r="F8" s="18">
        <f>IF($B8="","",COUNTIFS('Номма-ном'!$B:$B,$R$2,'Номма-ном'!$C:$C,$B8,'Номма-ном'!$J:$J,"ЯТТ",'Номма-ном'!$M:$M,"&gt;="&amp;Йўриқнома!$C$3,'Номма-ном'!$M:$M,"&lt;="&amp;Йўриқнома!$C$4))</f>
        <v>26</v>
      </c>
      <c r="G8" s="18">
        <f>IF($B8="","",COUNTIFS('Номма-ном'!$B:$B,$R$2,'Номма-ном'!$C:$C,$B8,'Номма-ном'!$J:$J,"ЯТТ",'Номма-ном'!$M:$M,"&gt;="&amp;Йўриқнома!$C$3,'Номма-ном'!$M:$M,"&lt;="&amp;Йўриқнома!$C$4,'Номма-ном'!$O:$O,"Ҳа"))</f>
        <v>2</v>
      </c>
      <c r="H8" s="18">
        <f>IF($B8="","",COUNTIFS('Номма-ном'!$B:$B,$R$2,'Номма-ном'!$C:$C,$B8,'Номма-ном'!$J:$J,"ЯТТ",'Номма-ном'!$M:$M,Йўриқнома!$C$4))</f>
        <v>0</v>
      </c>
      <c r="I8" s="18">
        <f>IF($B8="","",COUNTIFS('Номма-ном'!$B:$B,$R$2,'Номма-ном'!$C:$C,$B8,'Номма-ном'!$J:$J,"МЧЖ",'Номма-ном'!$M:$M,"&gt;="&amp;Йўриқнома!$C$3,'Номма-ном'!$M:$M,"&lt;="&amp;Йўриқнома!$C$4))</f>
        <v>0</v>
      </c>
      <c r="J8" s="18">
        <f>IF($B8="","",COUNTIFS('Номма-ном'!$B:$B,$R$2,'Номма-ном'!$C:$C,$B8,'Номма-ном'!$J:$J,"МЧЖ",'Номма-ном'!$M:$M,"&gt;="&amp;Йўриқнома!$C$3,'Номма-ном'!$M:$M,"&lt;="&amp;Йўриқнома!$C$4,'Номма-ном'!$O:$O,"Ҳа"))</f>
        <v>0</v>
      </c>
      <c r="K8" s="18">
        <f>IF($B8="","",COUNTIFS('Номма-ном'!$B:$B,$R$2,'Номма-ном'!$C:$C,$B8,'Номма-ном'!$J:$J,"МЧЖ",'Номма-ном'!$M:$M,Йўриқнома!$C$4))</f>
        <v>0</v>
      </c>
      <c r="L8" s="18">
        <f>IF($B8="","",SUMIFS('Номма-ном'!$R:$R,'Номма-ном'!$B:$B,$R$2,'Номма-ном'!$C:$C,$B8,'Номма-ном'!$J:$J,"МЧЖ",'Номма-ном'!$M:$M,"&gt;="&amp;Йўриқнома!$C$3,'Номма-ном'!$M:$M,"&lt;="&amp;Йўриқнома!$C$4))</f>
        <v>0</v>
      </c>
      <c r="M8" s="18">
        <f>IF($B8="","",COUNTIFS('Номма-ном'!$B:$B,$R$2,'Номма-ном'!$C:$C,$B8,'Номма-ном'!$J:$J,"Деҳқон хўжалиги",'Номма-ном'!$M:$M,"&gt;="&amp;Йўриқнома!$C$3,'Номма-ном'!$M:$M,"&lt;="&amp;Йўриқнома!$C$4))</f>
        <v>12</v>
      </c>
      <c r="N8" s="18">
        <f>IF($B8="","",COUNTIFS('Номма-ном'!$B:$B,$R$2,'Номма-ном'!$C:$C,$B8,'Номма-ном'!$J:$J,"Деҳқон хўжалиги",'Номма-ном'!$M:$M,"&gt;="&amp;Йўриқнома!$C$3,'Номма-ном'!$M:$M,"&lt;="&amp;Йўриқнома!$C$4,'Номма-ном'!$O:$O,"Ҳа"))</f>
        <v>0</v>
      </c>
      <c r="O8" s="18">
        <f>IF($B8="","",COUNTIFS('Номма-ном'!$B:$B,$R$2,'Номма-ном'!$C:$C,$B8,'Номма-ном'!$J:$J,"Деҳқон хўжалиги",'Номма-ном'!$M:$M,Йўриқнома!$C$4))</f>
        <v>0</v>
      </c>
      <c r="P8" s="21">
        <f>IF($B8="","",SUMIFS('Номма-ном'!$S:$S,'Номма-ном'!$B:$B,$R$2,'Номма-ном'!$C:$C,$B8,'Номма-ном'!$J:$J,"Деҳқон хўжалиги",'Номма-ном'!$M:$M,"&gt;="&amp;Йўриқнома!$C$3,'Номма-ном'!$M:$M,"&lt;="&amp;Йўриқнома!$C$4))</f>
        <v>12</v>
      </c>
    </row>
    <row r="9" spans="1:18" ht="29.25" customHeight="1" x14ac:dyDescent="0.25">
      <c r="A9" s="18">
        <f>IF(B9="","",3)</f>
        <v>3</v>
      </c>
      <c r="B9" s="19" t="str">
        <f>IFERROR(IF(INDEX(Маълумотнома!$A:$A,MATCH($R$2,Маълумотнома!$A:$A,0)+2)=$R$2,INDEX(Маълумотнома!$B:$B,MATCH($R$2,Маълумотнома!$A:$A,0)+2),""),"")</f>
        <v>Мирзаобод</v>
      </c>
      <c r="C9" s="20">
        <f t="shared" si="1"/>
        <v>59</v>
      </c>
      <c r="D9" s="20">
        <f t="shared" si="2"/>
        <v>0</v>
      </c>
      <c r="E9" s="20">
        <f t="shared" si="3"/>
        <v>0</v>
      </c>
      <c r="F9" s="18">
        <f>IF($B9="","",COUNTIFS('Номма-ном'!$B:$B,$R$2,'Номма-ном'!$C:$C,$B9,'Номма-ном'!$J:$J,"ЯТТ",'Номма-ном'!$M:$M,"&gt;="&amp;Йўриқнома!$C$3,'Номма-ном'!$M:$M,"&lt;="&amp;Йўриқнома!$C$4))</f>
        <v>27</v>
      </c>
      <c r="G9" s="18">
        <f>IF($B9="","",COUNTIFS('Номма-ном'!$B:$B,$R$2,'Номма-ном'!$C:$C,$B9,'Номма-ном'!$J:$J,"ЯТТ",'Номма-ном'!$M:$M,"&gt;="&amp;Йўриқнома!$C$3,'Номма-ном'!$M:$M,"&lt;="&amp;Йўриқнома!$C$4,'Номма-ном'!$O:$O,"Ҳа"))</f>
        <v>0</v>
      </c>
      <c r="H9" s="18">
        <f>IF($B9="","",COUNTIFS('Номма-ном'!$B:$B,$R$2,'Номма-ном'!$C:$C,$B9,'Номма-ном'!$J:$J,"ЯТТ",'Номма-ном'!$M:$M,Йўриқнома!$C$4))</f>
        <v>0</v>
      </c>
      <c r="I9" s="18">
        <f>IF($B9="","",COUNTIFS('Номма-ном'!$B:$B,$R$2,'Номма-ном'!$C:$C,$B9,'Номма-ном'!$J:$J,"МЧЖ",'Номма-ном'!$M:$M,"&gt;="&amp;Йўриқнома!$C$3,'Номма-ном'!$M:$M,"&lt;="&amp;Йўриқнома!$C$4))</f>
        <v>0</v>
      </c>
      <c r="J9" s="18">
        <f>IF($B9="","",COUNTIFS('Номма-ном'!$B:$B,$R$2,'Номма-ном'!$C:$C,$B9,'Номма-ном'!$J:$J,"МЧЖ",'Номма-ном'!$M:$M,"&gt;="&amp;Йўриқнома!$C$3,'Номма-ном'!$M:$M,"&lt;="&amp;Йўриқнома!$C$4,'Номма-ном'!$O:$O,"Ҳа"))</f>
        <v>0</v>
      </c>
      <c r="K9" s="18">
        <f>IF($B9="","",COUNTIFS('Номма-ном'!$B:$B,$R$2,'Номма-ном'!$C:$C,$B9,'Номма-ном'!$J:$J,"МЧЖ",'Номма-ном'!$M:$M,Йўриқнома!$C$4))</f>
        <v>0</v>
      </c>
      <c r="L9" s="18">
        <f>IF($B9="","",SUMIFS('Номма-ном'!$R:$R,'Номма-ном'!$B:$B,$R$2,'Номма-ном'!$C:$C,$B9,'Номма-ном'!$J:$J,"МЧЖ",'Номма-ном'!$M:$M,"&gt;="&amp;Йўриқнома!$C$3,'Номма-ном'!$M:$M,"&lt;="&amp;Йўриқнома!$C$4))</f>
        <v>0</v>
      </c>
      <c r="M9" s="18">
        <f>IF($B9="","",COUNTIFS('Номма-ном'!$B:$B,$R$2,'Номма-ном'!$C:$C,$B9,'Номма-ном'!$J:$J,"Деҳқон хўжалиги",'Номма-ном'!$M:$M,"&gt;="&amp;Йўриқнома!$C$3,'Номма-ном'!$M:$M,"&lt;="&amp;Йўриқнома!$C$4))</f>
        <v>32</v>
      </c>
      <c r="N9" s="18">
        <f>IF($B9="","",COUNTIFS('Номма-ном'!$B:$B,$R$2,'Номма-ном'!$C:$C,$B9,'Номма-ном'!$J:$J,"Деҳқон хўжалиги",'Номма-ном'!$M:$M,"&gt;="&amp;Йўриқнома!$C$3,'Номма-ном'!$M:$M,"&lt;="&amp;Йўриқнома!$C$4,'Номма-ном'!$O:$O,"Ҳа"))</f>
        <v>0</v>
      </c>
      <c r="O9" s="18">
        <f>IF($B9="","",COUNTIFS('Номма-ном'!$B:$B,$R$2,'Номма-ном'!$C:$C,$B9,'Номма-ном'!$J:$J,"Деҳқон хўжалиги",'Номма-ном'!$M:$M,Йўриқнома!$C$4))</f>
        <v>0</v>
      </c>
      <c r="P9" s="21">
        <f>IF($B9="","",SUMIFS('Номма-ном'!$S:$S,'Номма-ном'!$B:$B,$R$2,'Номма-ном'!$C:$C,$B9,'Номма-ном'!$J:$J,"Деҳқон хўжалиги",'Номма-ном'!$M:$M,"&gt;="&amp;Йўриқнома!$C$3,'Номма-ном'!$M:$M,"&lt;="&amp;Йўриқнома!$C$4))</f>
        <v>32</v>
      </c>
    </row>
    <row r="10" spans="1:18" ht="29.25" customHeight="1" x14ac:dyDescent="0.25">
      <c r="A10" s="18">
        <f>IF(B10="","",4)</f>
        <v>4</v>
      </c>
      <c r="B10" s="19" t="str">
        <f>IFERROR(IF(INDEX(Маълумотнома!$A:$A,MATCH($R$2,Маълумотнома!$A:$A,0)+3)=$R$2,INDEX(Маълумотнома!$B:$B,MATCH($R$2,Маълумотнома!$A:$A,0)+3),""),"")</f>
        <v>Оқолтин</v>
      </c>
      <c r="C10" s="20">
        <f t="shared" si="1"/>
        <v>16</v>
      </c>
      <c r="D10" s="20">
        <f t="shared" si="2"/>
        <v>0</v>
      </c>
      <c r="E10" s="20">
        <f t="shared" si="3"/>
        <v>0</v>
      </c>
      <c r="F10" s="18">
        <f>IF($B10="","",COUNTIFS('Номма-ном'!$B:$B,$R$2,'Номма-ном'!$C:$C,$B10,'Номма-ном'!$J:$J,"ЯТТ",'Номма-ном'!$M:$M,"&gt;="&amp;Йўриқнома!$C$3,'Номма-ном'!$M:$M,"&lt;="&amp;Йўриқнома!$C$4))</f>
        <v>7</v>
      </c>
      <c r="G10" s="18">
        <f>IF($B10="","",COUNTIFS('Номма-ном'!$B:$B,$R$2,'Номма-ном'!$C:$C,$B10,'Номма-ном'!$J:$J,"ЯТТ",'Номма-ном'!$M:$M,"&gt;="&amp;Йўриқнома!$C$3,'Номма-ном'!$M:$M,"&lt;="&amp;Йўриқнома!$C$4,'Номма-ном'!$O:$O,"Ҳа"))</f>
        <v>0</v>
      </c>
      <c r="H10" s="18">
        <f>IF($B10="","",COUNTIFS('Номма-ном'!$B:$B,$R$2,'Номма-ном'!$C:$C,$B10,'Номма-ном'!$J:$J,"ЯТТ",'Номма-ном'!$M:$M,Йўриқнома!$C$4))</f>
        <v>0</v>
      </c>
      <c r="I10" s="18">
        <f>IF($B10="","",COUNTIFS('Номма-ном'!$B:$B,$R$2,'Номма-ном'!$C:$C,$B10,'Номма-ном'!$J:$J,"МЧЖ",'Номма-ном'!$M:$M,"&gt;="&amp;Йўриқнома!$C$3,'Номма-ном'!$M:$M,"&lt;="&amp;Йўриқнома!$C$4))</f>
        <v>0</v>
      </c>
      <c r="J10" s="18">
        <f>IF($B10="","",COUNTIFS('Номма-ном'!$B:$B,$R$2,'Номма-ном'!$C:$C,$B10,'Номма-ном'!$J:$J,"МЧЖ",'Номма-ном'!$M:$M,"&gt;="&amp;Йўриқнома!$C$3,'Номма-ном'!$M:$M,"&lt;="&amp;Йўриқнома!$C$4,'Номма-ном'!$O:$O,"Ҳа"))</f>
        <v>0</v>
      </c>
      <c r="K10" s="18">
        <f>IF($B10="","",COUNTIFS('Номма-ном'!$B:$B,$R$2,'Номма-ном'!$C:$C,$B10,'Номма-ном'!$J:$J,"МЧЖ",'Номма-ном'!$M:$M,Йўриқнома!$C$4))</f>
        <v>0</v>
      </c>
      <c r="L10" s="18">
        <f>IF($B10="","",SUMIFS('Номма-ном'!$R:$R,'Номма-ном'!$B:$B,$R$2,'Номма-ном'!$C:$C,$B10,'Номма-ном'!$J:$J,"МЧЖ",'Номма-ном'!$M:$M,"&gt;="&amp;Йўриқнома!$C$3,'Номма-ном'!$M:$M,"&lt;="&amp;Йўриқнома!$C$4))</f>
        <v>0</v>
      </c>
      <c r="M10" s="18">
        <f>IF($B10="","",COUNTIFS('Номма-ном'!$B:$B,$R$2,'Номма-ном'!$C:$C,$B10,'Номма-ном'!$J:$J,"Деҳқон хўжалиги",'Номма-ном'!$M:$M,"&gt;="&amp;Йўриқнома!$C$3,'Номма-ном'!$M:$M,"&lt;="&amp;Йўриқнома!$C$4))</f>
        <v>9</v>
      </c>
      <c r="N10" s="18">
        <f>IF($B10="","",COUNTIFS('Номма-ном'!$B:$B,$R$2,'Номма-ном'!$C:$C,$B10,'Номма-ном'!$J:$J,"Деҳқон хўжалиги",'Номма-ном'!$M:$M,"&gt;="&amp;Йўриқнома!$C$3,'Номма-ном'!$M:$M,"&lt;="&amp;Йўриқнома!$C$4,'Номма-ном'!$O:$O,"Ҳа"))</f>
        <v>0</v>
      </c>
      <c r="O10" s="18">
        <f>IF($B10="","",COUNTIFS('Номма-ном'!$B:$B,$R$2,'Номма-ном'!$C:$C,$B10,'Номма-ном'!$J:$J,"Деҳқон хўжалиги",'Номма-ном'!$M:$M,Йўриқнома!$C$4))</f>
        <v>0</v>
      </c>
      <c r="P10" s="21">
        <f>IF($B10="","",SUMIFS('Номма-ном'!$S:$S,'Номма-ном'!$B:$B,$R$2,'Номма-ном'!$C:$C,$B10,'Номма-ном'!$J:$J,"Деҳқон хўжалиги",'Номма-ном'!$M:$M,"&gt;="&amp;Йўриқнома!$C$3,'Номма-ном'!$M:$M,"&lt;="&amp;Йўриқнома!$C$4))</f>
        <v>9</v>
      </c>
    </row>
    <row r="11" spans="1:18" ht="29.25" customHeight="1" x14ac:dyDescent="0.25">
      <c r="A11" s="18">
        <f>IF(B11="","",5)</f>
        <v>5</v>
      </c>
      <c r="B11" s="19" t="str">
        <f>IFERROR(IF(INDEX(Маълумотнома!$A:$A,MATCH($R$2,Маълумотнома!$A:$A,0)+4)=$R$2,INDEX(Маълумотнома!$B:$B,MATCH($R$2,Маълумотнома!$A:$A,0)+4),""),"")</f>
        <v>Сайхунобод</v>
      </c>
      <c r="C11" s="20">
        <f t="shared" si="1"/>
        <v>45</v>
      </c>
      <c r="D11" s="20">
        <f t="shared" si="2"/>
        <v>1</v>
      </c>
      <c r="E11" s="20">
        <f t="shared" si="3"/>
        <v>0</v>
      </c>
      <c r="F11" s="18">
        <f>IF($B11="","",COUNTIFS('Номма-ном'!$B:$B,$R$2,'Номма-ном'!$C:$C,$B11,'Номма-ном'!$J:$J,"ЯТТ",'Номма-ном'!$M:$M,"&gt;="&amp;Йўриқнома!$C$3,'Номма-ном'!$M:$M,"&lt;="&amp;Йўриқнома!$C$4))</f>
        <v>16</v>
      </c>
      <c r="G11" s="18">
        <f>IF($B11="","",COUNTIFS('Номма-ном'!$B:$B,$R$2,'Номма-ном'!$C:$C,$B11,'Номма-ном'!$J:$J,"ЯТТ",'Номма-ном'!$M:$M,"&gt;="&amp;Йўриқнома!$C$3,'Номма-ном'!$M:$M,"&lt;="&amp;Йўриқнома!$C$4,'Номма-ном'!$O:$O,"Ҳа"))</f>
        <v>0</v>
      </c>
      <c r="H11" s="18">
        <f>IF($B11="","",COUNTIFS('Номма-ном'!$B:$B,$R$2,'Номма-ном'!$C:$C,$B11,'Номма-ном'!$J:$J,"ЯТТ",'Номма-ном'!$M:$M,Йўриқнома!$C$4))</f>
        <v>0</v>
      </c>
      <c r="I11" s="18">
        <f>IF($B11="","",COUNTIFS('Номма-ном'!$B:$B,$R$2,'Номма-ном'!$C:$C,$B11,'Номма-ном'!$J:$J,"МЧЖ",'Номма-ном'!$M:$M,"&gt;="&amp;Йўриқнома!$C$3,'Номма-ном'!$M:$M,"&lt;="&amp;Йўриқнома!$C$4))</f>
        <v>0</v>
      </c>
      <c r="J11" s="18">
        <f>IF($B11="","",COUNTIFS('Номма-ном'!$B:$B,$R$2,'Номма-ном'!$C:$C,$B11,'Номма-ном'!$J:$J,"МЧЖ",'Номма-ном'!$M:$M,"&gt;="&amp;Йўриқнома!$C$3,'Номма-ном'!$M:$M,"&lt;="&amp;Йўриқнома!$C$4,'Номма-ном'!$O:$O,"Ҳа"))</f>
        <v>0</v>
      </c>
      <c r="K11" s="18">
        <f>IF($B11="","",COUNTIFS('Номма-ном'!$B:$B,$R$2,'Номма-ном'!$C:$C,$B11,'Номма-ном'!$J:$J,"МЧЖ",'Номма-ном'!$M:$M,Йўриқнома!$C$4))</f>
        <v>0</v>
      </c>
      <c r="L11" s="18">
        <f>IF($B11="","",SUMIFS('Номма-ном'!$R:$R,'Номма-ном'!$B:$B,$R$2,'Номма-ном'!$C:$C,$B11,'Номма-ном'!$J:$J,"МЧЖ",'Номма-ном'!$M:$M,"&gt;="&amp;Йўриқнома!$C$3,'Номма-ном'!$M:$M,"&lt;="&amp;Йўриқнома!$C$4))</f>
        <v>0</v>
      </c>
      <c r="M11" s="18">
        <f>IF($B11="","",COUNTIFS('Номма-ном'!$B:$B,$R$2,'Номма-ном'!$C:$C,$B11,'Номма-ном'!$J:$J,"Деҳқон хўжалиги",'Номма-ном'!$M:$M,"&gt;="&amp;Йўриқнома!$C$3,'Номма-ном'!$M:$M,"&lt;="&amp;Йўриқнома!$C$4))</f>
        <v>29</v>
      </c>
      <c r="N11" s="18">
        <f>IF($B11="","",COUNTIFS('Номма-ном'!$B:$B,$R$2,'Номма-ном'!$C:$C,$B11,'Номма-ном'!$J:$J,"Деҳқон хўжалиги",'Номма-ном'!$M:$M,"&gt;="&amp;Йўриқнома!$C$3,'Номма-ном'!$M:$M,"&lt;="&amp;Йўриқнома!$C$4,'Номма-ном'!$O:$O,"Ҳа"))</f>
        <v>1</v>
      </c>
      <c r="O11" s="18">
        <f>IF($B11="","",COUNTIFS('Номма-ном'!$B:$B,$R$2,'Номма-ном'!$C:$C,$B11,'Номма-ном'!$J:$J,"Деҳқон хўжалиги",'Номма-ном'!$M:$M,Йўриқнома!$C$4))</f>
        <v>0</v>
      </c>
      <c r="P11" s="21">
        <f>IF($B11="","",SUMIFS('Номма-ном'!$S:$S,'Номма-ном'!$B:$B,$R$2,'Номма-ном'!$C:$C,$B11,'Номма-ном'!$J:$J,"Деҳқон хўжалиги",'Номма-ном'!$M:$M,"&gt;="&amp;Йўриқнома!$C$3,'Номма-ном'!$M:$M,"&lt;="&amp;Йўриқнома!$C$4))</f>
        <v>29</v>
      </c>
    </row>
    <row r="12" spans="1:18" ht="29.25" customHeight="1" x14ac:dyDescent="0.25">
      <c r="A12" s="18">
        <f>IF(B12="","",6)</f>
        <v>6</v>
      </c>
      <c r="B12" s="19" t="str">
        <f>IFERROR(IF(INDEX(Маълумотнома!$A:$A,MATCH($R$2,Маълумотнома!$A:$A,0)+5)=$R$2,INDEX(Маълумотнома!$B:$B,MATCH($R$2,Маълумотнома!$A:$A,0)+5),""),"")</f>
        <v>Сардоба</v>
      </c>
      <c r="C12" s="20">
        <f t="shared" si="1"/>
        <v>39</v>
      </c>
      <c r="D12" s="20">
        <f t="shared" si="2"/>
        <v>5</v>
      </c>
      <c r="E12" s="20">
        <f t="shared" si="3"/>
        <v>0</v>
      </c>
      <c r="F12" s="18">
        <f>IF($B12="","",COUNTIFS('Номма-ном'!$B:$B,$R$2,'Номма-ном'!$C:$C,$B12,'Номма-ном'!$J:$J,"ЯТТ",'Номма-ном'!$M:$M,"&gt;="&amp;Йўриқнома!$C$3,'Номма-ном'!$M:$M,"&lt;="&amp;Йўриқнома!$C$4))</f>
        <v>15</v>
      </c>
      <c r="G12" s="18">
        <f>IF($B12="","",COUNTIFS('Номма-ном'!$B:$B,$R$2,'Номма-ном'!$C:$C,$B12,'Номма-ном'!$J:$J,"ЯТТ",'Номма-ном'!$M:$M,"&gt;="&amp;Йўриқнома!$C$3,'Номма-ном'!$M:$M,"&lt;="&amp;Йўриқнома!$C$4,'Номма-ном'!$O:$O,"Ҳа"))</f>
        <v>5</v>
      </c>
      <c r="H12" s="18">
        <f>IF($B12="","",COUNTIFS('Номма-ном'!$B:$B,$R$2,'Номма-ном'!$C:$C,$B12,'Номма-ном'!$J:$J,"ЯТТ",'Номма-ном'!$M:$M,Йўриқнома!$C$4))</f>
        <v>0</v>
      </c>
      <c r="I12" s="18">
        <f>IF($B12="","",COUNTIFS('Номма-ном'!$B:$B,$R$2,'Номма-ном'!$C:$C,$B12,'Номма-ном'!$J:$J,"МЧЖ",'Номма-ном'!$M:$M,"&gt;="&amp;Йўриқнома!$C$3,'Номма-ном'!$M:$M,"&lt;="&amp;Йўриқнома!$C$4))</f>
        <v>0</v>
      </c>
      <c r="J12" s="18">
        <f>IF($B12="","",COUNTIFS('Номма-ном'!$B:$B,$R$2,'Номма-ном'!$C:$C,$B12,'Номма-ном'!$J:$J,"МЧЖ",'Номма-ном'!$M:$M,"&gt;="&amp;Йўриқнома!$C$3,'Номма-ном'!$M:$M,"&lt;="&amp;Йўриқнома!$C$4,'Номма-ном'!$O:$O,"Ҳа"))</f>
        <v>0</v>
      </c>
      <c r="K12" s="18">
        <f>IF($B12="","",COUNTIFS('Номма-ном'!$B:$B,$R$2,'Номма-ном'!$C:$C,$B12,'Номма-ном'!$J:$J,"МЧЖ",'Номма-ном'!$M:$M,Йўриқнома!$C$4))</f>
        <v>0</v>
      </c>
      <c r="L12" s="18">
        <f>IF($B12="","",SUMIFS('Номма-ном'!$R:$R,'Номма-ном'!$B:$B,$R$2,'Номма-ном'!$C:$C,$B12,'Номма-ном'!$J:$J,"МЧЖ",'Номма-ном'!$M:$M,"&gt;="&amp;Йўриқнома!$C$3,'Номма-ном'!$M:$M,"&lt;="&amp;Йўриқнома!$C$4))</f>
        <v>0</v>
      </c>
      <c r="M12" s="18">
        <f>IF($B12="","",COUNTIFS('Номма-ном'!$B:$B,$R$2,'Номма-ном'!$C:$C,$B12,'Номма-ном'!$J:$J,"Деҳқон хўжалиги",'Номма-ном'!$M:$M,"&gt;="&amp;Йўриқнома!$C$3,'Номма-ном'!$M:$M,"&lt;="&amp;Йўриқнома!$C$4))</f>
        <v>24</v>
      </c>
      <c r="N12" s="18">
        <f>IF($B12="","",COUNTIFS('Номма-ном'!$B:$B,$R$2,'Номма-ном'!$C:$C,$B12,'Номма-ном'!$J:$J,"Деҳқон хўжалиги",'Номма-ном'!$M:$M,"&gt;="&amp;Йўриқнома!$C$3,'Номма-ном'!$M:$M,"&lt;="&amp;Йўриқнома!$C$4,'Номма-ном'!$O:$O,"Ҳа"))</f>
        <v>0</v>
      </c>
      <c r="O12" s="18">
        <f>IF($B12="","",COUNTIFS('Номма-ном'!$B:$B,$R$2,'Номма-ном'!$C:$C,$B12,'Номма-ном'!$J:$J,"Деҳқон хўжалиги",'Номма-ном'!$M:$M,Йўриқнома!$C$4))</f>
        <v>0</v>
      </c>
      <c r="P12" s="21">
        <f>IF($B12="","",SUMIFS('Номма-ном'!$S:$S,'Номма-ном'!$B:$B,$R$2,'Номма-ном'!$C:$C,$B12,'Номма-ном'!$J:$J,"Деҳқон хўжалиги",'Номма-ном'!$M:$M,"&gt;="&amp;Йўриқнома!$C$3,'Номма-ном'!$M:$M,"&lt;="&amp;Йўриқнома!$C$4))</f>
        <v>24</v>
      </c>
    </row>
    <row r="13" spans="1:18" ht="29.25" customHeight="1" x14ac:dyDescent="0.25">
      <c r="A13" s="18">
        <f>IF(B13="","",7)</f>
        <v>7</v>
      </c>
      <c r="B13" s="19" t="str">
        <f>IFERROR(IF(INDEX(Маълумотнома!$A:$A,MATCH($R$2,Маълумотнома!$A:$A,0)+6)=$R$2,INDEX(Маълумотнома!$B:$B,MATCH($R$2,Маълумотнома!$A:$A,0)+6),""),"")</f>
        <v>Сирдарё тумани</v>
      </c>
      <c r="C13" s="20">
        <f t="shared" si="1"/>
        <v>103</v>
      </c>
      <c r="D13" s="20">
        <f t="shared" si="2"/>
        <v>2</v>
      </c>
      <c r="E13" s="20">
        <f t="shared" si="3"/>
        <v>0</v>
      </c>
      <c r="F13" s="18">
        <f>IF($B13="","",COUNTIFS('Номма-ном'!$B:$B,$R$2,'Номма-ном'!$C:$C,$B13,'Номма-ном'!$J:$J,"ЯТТ",'Номма-ном'!$M:$M,"&gt;="&amp;Йўриқнома!$C$3,'Номма-ном'!$M:$M,"&lt;="&amp;Йўриқнома!$C$4))</f>
        <v>61</v>
      </c>
      <c r="G13" s="18">
        <f>IF($B13="","",COUNTIFS('Номма-ном'!$B:$B,$R$2,'Номма-ном'!$C:$C,$B13,'Номма-ном'!$J:$J,"ЯТТ",'Номма-ном'!$M:$M,"&gt;="&amp;Йўриқнома!$C$3,'Номма-ном'!$M:$M,"&lt;="&amp;Йўриқнома!$C$4,'Номма-ном'!$O:$O,"Ҳа"))</f>
        <v>1</v>
      </c>
      <c r="H13" s="18">
        <f>IF($B13="","",COUNTIFS('Номма-ном'!$B:$B,$R$2,'Номма-ном'!$C:$C,$B13,'Номма-ном'!$J:$J,"ЯТТ",'Номма-ном'!$M:$M,Йўриқнома!$C$4))</f>
        <v>0</v>
      </c>
      <c r="I13" s="18">
        <f>IF($B13="","",COUNTIFS('Номма-ном'!$B:$B,$R$2,'Номма-ном'!$C:$C,$B13,'Номма-ном'!$J:$J,"МЧЖ",'Номма-ном'!$M:$M,"&gt;="&amp;Йўриқнома!$C$3,'Номма-ном'!$M:$M,"&lt;="&amp;Йўриқнома!$C$4))</f>
        <v>0</v>
      </c>
      <c r="J13" s="18">
        <f>IF($B13="","",COUNTIFS('Номма-ном'!$B:$B,$R$2,'Номма-ном'!$C:$C,$B13,'Номма-ном'!$J:$J,"МЧЖ",'Номма-ном'!$M:$M,"&gt;="&amp;Йўриқнома!$C$3,'Номма-ном'!$M:$M,"&lt;="&amp;Йўриқнома!$C$4,'Номма-ном'!$O:$O,"Ҳа"))</f>
        <v>0</v>
      </c>
      <c r="K13" s="18">
        <f>IF($B13="","",COUNTIFS('Номма-ном'!$B:$B,$R$2,'Номма-ном'!$C:$C,$B13,'Номма-ном'!$J:$J,"МЧЖ",'Номма-ном'!$M:$M,Йўриқнома!$C$4))</f>
        <v>0</v>
      </c>
      <c r="L13" s="18">
        <f>IF($B13="","",SUMIFS('Номма-ном'!$R:$R,'Номма-ном'!$B:$B,$R$2,'Номма-ном'!$C:$C,$B13,'Номма-ном'!$J:$J,"МЧЖ",'Номма-ном'!$M:$M,"&gt;="&amp;Йўриқнома!$C$3,'Номма-ном'!$M:$M,"&lt;="&amp;Йўриқнома!$C$4))</f>
        <v>0</v>
      </c>
      <c r="M13" s="18">
        <f>IF($B13="","",COUNTIFS('Номма-ном'!$B:$B,$R$2,'Номма-ном'!$C:$C,$B13,'Номма-ном'!$J:$J,"Деҳқон хўжалиги",'Номма-ном'!$M:$M,"&gt;="&amp;Йўриқнома!$C$3,'Номма-ном'!$M:$M,"&lt;="&amp;Йўриқнома!$C$4))</f>
        <v>42</v>
      </c>
      <c r="N13" s="18">
        <f>IF($B13="","",COUNTIFS('Номма-ном'!$B:$B,$R$2,'Номма-ном'!$C:$C,$B13,'Номма-ном'!$J:$J,"Деҳқон хўжалиги",'Номма-ном'!$M:$M,"&gt;="&amp;Йўриқнома!$C$3,'Номма-ном'!$M:$M,"&lt;="&amp;Йўриқнома!$C$4,'Номма-ном'!$O:$O,"Ҳа"))</f>
        <v>1</v>
      </c>
      <c r="O13" s="18">
        <f>IF($B13="","",COUNTIFS('Номма-ном'!$B:$B,$R$2,'Номма-ном'!$C:$C,$B13,'Номма-ном'!$J:$J,"Деҳқон хўжалиги",'Номма-ном'!$M:$M,Йўриқнома!$C$4))</f>
        <v>0</v>
      </c>
      <c r="P13" s="21">
        <f>IF($B13="","",SUMIFS('Номма-ном'!$S:$S,'Номма-ном'!$B:$B,$R$2,'Номма-ном'!$C:$C,$B13,'Номма-ном'!$J:$J,"Деҳқон хўжалиги",'Номма-ном'!$M:$M,"&gt;="&amp;Йўриқнома!$C$3,'Номма-ном'!$M:$M,"&lt;="&amp;Йўриқнома!$C$4))</f>
        <v>42</v>
      </c>
    </row>
    <row r="14" spans="1:18" ht="29.25" customHeight="1" x14ac:dyDescent="0.25">
      <c r="A14" s="18">
        <f>IF(B14="","",8)</f>
        <v>8</v>
      </c>
      <c r="B14" s="19" t="str">
        <f>IFERROR(IF(INDEX(Маълумотнома!$A:$A,MATCH($R$2,Маълумотнома!$A:$A,0)+7)=$R$2,INDEX(Маълумотнома!$B:$B,MATCH($R$2,Маълумотнома!$A:$A,0)+7),""),"")</f>
        <v>Ховос</v>
      </c>
      <c r="C14" s="20">
        <f t="shared" si="1"/>
        <v>76</v>
      </c>
      <c r="D14" s="20">
        <f t="shared" si="2"/>
        <v>2</v>
      </c>
      <c r="E14" s="20">
        <f t="shared" si="3"/>
        <v>0</v>
      </c>
      <c r="F14" s="18">
        <f>IF($B14="","",COUNTIFS('Номма-ном'!$B:$B,$R$2,'Номма-ном'!$C:$C,$B14,'Номма-ном'!$J:$J,"ЯТТ",'Номма-ном'!$M:$M,"&gt;="&amp;Йўриқнома!$C$3,'Номма-ном'!$M:$M,"&lt;="&amp;Йўриқнома!$C$4))</f>
        <v>27</v>
      </c>
      <c r="G14" s="18">
        <f>IF($B14="","",COUNTIFS('Номма-ном'!$B:$B,$R$2,'Номма-ном'!$C:$C,$B14,'Номма-ном'!$J:$J,"ЯТТ",'Номма-ном'!$M:$M,"&gt;="&amp;Йўриқнома!$C$3,'Номма-ном'!$M:$M,"&lt;="&amp;Йўриқнома!$C$4,'Номма-ном'!$O:$O,"Ҳа"))</f>
        <v>2</v>
      </c>
      <c r="H14" s="18">
        <f>IF($B14="","",COUNTIFS('Номма-ном'!$B:$B,$R$2,'Номма-ном'!$C:$C,$B14,'Номма-ном'!$J:$J,"ЯТТ",'Номма-ном'!$M:$M,Йўриқнома!$C$4))</f>
        <v>0</v>
      </c>
      <c r="I14" s="18">
        <f>IF($B14="","",COUNTIFS('Номма-ном'!$B:$B,$R$2,'Номма-ном'!$C:$C,$B14,'Номма-ном'!$J:$J,"МЧЖ",'Номма-ном'!$M:$M,"&gt;="&amp;Йўриқнома!$C$3,'Номма-ном'!$M:$M,"&lt;="&amp;Йўриқнома!$C$4))</f>
        <v>0</v>
      </c>
      <c r="J14" s="18">
        <f>IF($B14="","",COUNTIFS('Номма-ном'!$B:$B,$R$2,'Номма-ном'!$C:$C,$B14,'Номма-ном'!$J:$J,"МЧЖ",'Номма-ном'!$M:$M,"&gt;="&amp;Йўриқнома!$C$3,'Номма-ном'!$M:$M,"&lt;="&amp;Йўриқнома!$C$4,'Номма-ном'!$O:$O,"Ҳа"))</f>
        <v>0</v>
      </c>
      <c r="K14" s="18">
        <f>IF($B14="","",COUNTIFS('Номма-ном'!$B:$B,$R$2,'Номма-ном'!$C:$C,$B14,'Номма-ном'!$J:$J,"МЧЖ",'Номма-ном'!$M:$M,Йўриқнома!$C$4))</f>
        <v>0</v>
      </c>
      <c r="L14" s="18">
        <f>IF($B14="","",SUMIFS('Номма-ном'!$R:$R,'Номма-ном'!$B:$B,$R$2,'Номма-ном'!$C:$C,$B14,'Номма-ном'!$J:$J,"МЧЖ",'Номма-ном'!$M:$M,"&gt;="&amp;Йўриқнома!$C$3,'Номма-ном'!$M:$M,"&lt;="&amp;Йўриқнома!$C$4))</f>
        <v>0</v>
      </c>
      <c r="M14" s="18">
        <f>IF($B14="","",COUNTIFS('Номма-ном'!$B:$B,$R$2,'Номма-ном'!$C:$C,$B14,'Номма-ном'!$J:$J,"Деҳқон хўжалиги",'Номма-ном'!$M:$M,"&gt;="&amp;Йўриқнома!$C$3,'Номма-ном'!$M:$M,"&lt;="&amp;Йўриқнома!$C$4))</f>
        <v>49</v>
      </c>
      <c r="N14" s="18">
        <f>IF($B14="","",COUNTIFS('Номма-ном'!$B:$B,$R$2,'Номма-ном'!$C:$C,$B14,'Номма-ном'!$J:$J,"Деҳқон хўжалиги",'Номма-ном'!$M:$M,"&gt;="&amp;Йўриқнома!$C$3,'Номма-ном'!$M:$M,"&lt;="&amp;Йўриқнома!$C$4,'Номма-ном'!$O:$O,"Ҳа"))</f>
        <v>0</v>
      </c>
      <c r="O14" s="18">
        <f>IF($B14="","",COUNTIFS('Номма-ном'!$B:$B,$R$2,'Номма-ном'!$C:$C,$B14,'Номма-ном'!$J:$J,"Деҳқон хўжалиги",'Номма-ном'!$M:$M,Йўриқнома!$C$4))</f>
        <v>0</v>
      </c>
      <c r="P14" s="21">
        <f>IF($B14="","",SUMIFS('Номма-ном'!$S:$S,'Номма-ном'!$B:$B,$R$2,'Номма-ном'!$C:$C,$B14,'Номма-ном'!$J:$J,"Деҳқон хўжалиги",'Номма-ном'!$M:$M,"&gt;="&amp;Йўриқнома!$C$3,'Номма-ном'!$M:$M,"&lt;="&amp;Йўриқнома!$C$4))</f>
        <v>49</v>
      </c>
    </row>
    <row r="15" spans="1:18" ht="29.25" customHeight="1" x14ac:dyDescent="0.25">
      <c r="A15" s="18">
        <f>IF(B15="","",9)</f>
        <v>9</v>
      </c>
      <c r="B15" s="19" t="str">
        <f>IFERROR(IF(INDEX(Маълумотнома!$A:$A,MATCH($R$2,Маълумотнома!$A:$A,0)+8)=$R$2,INDEX(Маълумотнома!$B:$B,MATCH($R$2,Маълумотнома!$A:$A,0)+8),""),"")</f>
        <v>Гулистон шаҳри</v>
      </c>
      <c r="C15" s="20">
        <f t="shared" si="1"/>
        <v>61</v>
      </c>
      <c r="D15" s="20">
        <f t="shared" si="2"/>
        <v>2</v>
      </c>
      <c r="E15" s="20">
        <f t="shared" si="3"/>
        <v>0</v>
      </c>
      <c r="F15" s="18">
        <f>IF($B15="","",COUNTIFS('Номма-ном'!$B:$B,$R$2,'Номма-ном'!$C:$C,$B15,'Номма-ном'!$J:$J,"ЯТТ",'Номма-ном'!$M:$M,"&gt;="&amp;Йўриқнома!$C$3,'Номма-ном'!$M:$M,"&lt;="&amp;Йўриқнома!$C$4))</f>
        <v>50</v>
      </c>
      <c r="G15" s="18">
        <f>IF($B15="","",COUNTIFS('Номма-ном'!$B:$B,$R$2,'Номма-ном'!$C:$C,$B15,'Номма-ном'!$J:$J,"ЯТТ",'Номма-ном'!$M:$M,"&gt;="&amp;Йўриқнома!$C$3,'Номма-ном'!$M:$M,"&lt;="&amp;Йўриқнома!$C$4,'Номма-ном'!$O:$O,"Ҳа"))</f>
        <v>2</v>
      </c>
      <c r="H15" s="18">
        <f>IF($B15="","",COUNTIFS('Номма-ном'!$B:$B,$R$2,'Номма-ном'!$C:$C,$B15,'Номма-ном'!$J:$J,"ЯТТ",'Номма-ном'!$M:$M,Йўриқнома!$C$4))</f>
        <v>0</v>
      </c>
      <c r="I15" s="18">
        <f>IF($B15="","",COUNTIFS('Номма-ном'!$B:$B,$R$2,'Номма-ном'!$C:$C,$B15,'Номма-ном'!$J:$J,"МЧЖ",'Номма-ном'!$M:$M,"&gt;="&amp;Йўриқнома!$C$3,'Номма-ном'!$M:$M,"&lt;="&amp;Йўриқнома!$C$4))</f>
        <v>0</v>
      </c>
      <c r="J15" s="18">
        <f>IF($B15="","",COUNTIFS('Номма-ном'!$B:$B,$R$2,'Номма-ном'!$C:$C,$B15,'Номма-ном'!$J:$J,"МЧЖ",'Номма-ном'!$M:$M,"&gt;="&amp;Йўриқнома!$C$3,'Номма-ном'!$M:$M,"&lt;="&amp;Йўриқнома!$C$4,'Номма-ном'!$O:$O,"Ҳа"))</f>
        <v>0</v>
      </c>
      <c r="K15" s="18">
        <f>IF($B15="","",COUNTIFS('Номма-ном'!$B:$B,$R$2,'Номма-ном'!$C:$C,$B15,'Номма-ном'!$J:$J,"МЧЖ",'Номма-ном'!$M:$M,Йўриқнома!$C$4))</f>
        <v>0</v>
      </c>
      <c r="L15" s="18">
        <f>IF($B15="","",SUMIFS('Номма-ном'!$R:$R,'Номма-ном'!$B:$B,$R$2,'Номма-ном'!$C:$C,$B15,'Номма-ном'!$J:$J,"МЧЖ",'Номма-ном'!$M:$M,"&gt;="&amp;Йўриқнома!$C$3,'Номма-ном'!$M:$M,"&lt;="&amp;Йўриқнома!$C$4))</f>
        <v>0</v>
      </c>
      <c r="M15" s="18">
        <f>IF($B15="","",COUNTIFS('Номма-ном'!$B:$B,$R$2,'Номма-ном'!$C:$C,$B15,'Номма-ном'!$J:$J,"Деҳқон хўжалиги",'Номма-ном'!$M:$M,"&gt;="&amp;Йўриқнома!$C$3,'Номма-ном'!$M:$M,"&lt;="&amp;Йўриқнома!$C$4))</f>
        <v>11</v>
      </c>
      <c r="N15" s="18">
        <f>IF($B15="","",COUNTIFS('Номма-ном'!$B:$B,$R$2,'Номма-ном'!$C:$C,$B15,'Номма-ном'!$J:$J,"Деҳқон хўжалиги",'Номма-ном'!$M:$M,"&gt;="&amp;Йўриқнома!$C$3,'Номма-ном'!$M:$M,"&lt;="&amp;Йўриқнома!$C$4,'Номма-ном'!$O:$O,"Ҳа"))</f>
        <v>0</v>
      </c>
      <c r="O15" s="18">
        <f>IF($B15="","",COUNTIFS('Номма-ном'!$B:$B,$R$2,'Номма-ном'!$C:$C,$B15,'Номма-ном'!$J:$J,"Деҳқон хўжалиги",'Номма-ном'!$M:$M,Йўриқнома!$C$4))</f>
        <v>0</v>
      </c>
      <c r="P15" s="21">
        <f>IF($B15="","",SUMIFS('Номма-ном'!$S:$S,'Номма-ном'!$B:$B,$R$2,'Номма-ном'!$C:$C,$B15,'Номма-ном'!$J:$J,"Деҳқон хўжалиги",'Номма-ном'!$M:$M,"&gt;="&amp;Йўриқнома!$C$3,'Номма-ном'!$M:$M,"&lt;="&amp;Йўриқнома!$C$4))</f>
        <v>11</v>
      </c>
    </row>
    <row r="16" spans="1:18" ht="29.25" customHeight="1" x14ac:dyDescent="0.25">
      <c r="A16" s="18">
        <f>IF(B16="","",10)</f>
        <v>10</v>
      </c>
      <c r="B16" s="19" t="str">
        <f>IFERROR(IF(INDEX(Маълумотнома!$A:$A,MATCH($R$2,Маълумотнома!$A:$A,0)+9)=$R$2,INDEX(Маълумотнома!$B:$B,MATCH($R$2,Маълумотнома!$A:$A,0)+9),""),"")</f>
        <v>Ширин шаҳри</v>
      </c>
      <c r="C16" s="20">
        <f t="shared" si="1"/>
        <v>9</v>
      </c>
      <c r="D16" s="20">
        <f t="shared" si="2"/>
        <v>1</v>
      </c>
      <c r="E16" s="20">
        <f t="shared" si="3"/>
        <v>0</v>
      </c>
      <c r="F16" s="18">
        <f>IF($B16="","",COUNTIFS('Номма-ном'!$B:$B,$R$2,'Номма-ном'!$C:$C,$B16,'Номма-ном'!$J:$J,"ЯТТ",'Номма-ном'!$M:$M,"&gt;="&amp;Йўриқнома!$C$3,'Номма-ном'!$M:$M,"&lt;="&amp;Йўриқнома!$C$4))</f>
        <v>9</v>
      </c>
      <c r="G16" s="18">
        <f>IF($B16="","",COUNTIFS('Номма-ном'!$B:$B,$R$2,'Номма-ном'!$C:$C,$B16,'Номма-ном'!$J:$J,"ЯТТ",'Номма-ном'!$M:$M,"&gt;="&amp;Йўриқнома!$C$3,'Номма-ном'!$M:$M,"&lt;="&amp;Йўриқнома!$C$4,'Номма-ном'!$O:$O,"Ҳа"))</f>
        <v>1</v>
      </c>
      <c r="H16" s="18">
        <f>IF($B16="","",COUNTIFS('Номма-ном'!$B:$B,$R$2,'Номма-ном'!$C:$C,$B16,'Номма-ном'!$J:$J,"ЯТТ",'Номма-ном'!$M:$M,Йўриқнома!$C$4))</f>
        <v>0</v>
      </c>
      <c r="I16" s="18">
        <f>IF($B16="","",COUNTIFS('Номма-ном'!$B:$B,$R$2,'Номма-ном'!$C:$C,$B16,'Номма-ном'!$J:$J,"МЧЖ",'Номма-ном'!$M:$M,"&gt;="&amp;Йўриқнома!$C$3,'Номма-ном'!$M:$M,"&lt;="&amp;Йўриқнома!$C$4))</f>
        <v>0</v>
      </c>
      <c r="J16" s="18">
        <f>IF($B16="","",COUNTIFS('Номма-ном'!$B:$B,$R$2,'Номма-ном'!$C:$C,$B16,'Номма-ном'!$J:$J,"МЧЖ",'Номма-ном'!$M:$M,"&gt;="&amp;Йўриқнома!$C$3,'Номма-ном'!$M:$M,"&lt;="&amp;Йўриқнома!$C$4,'Номма-ном'!$O:$O,"Ҳа"))</f>
        <v>0</v>
      </c>
      <c r="K16" s="18">
        <f>IF($B16="","",COUNTIFS('Номма-ном'!$B:$B,$R$2,'Номма-ном'!$C:$C,$B16,'Номма-ном'!$J:$J,"МЧЖ",'Номма-ном'!$M:$M,Йўриқнома!$C$4))</f>
        <v>0</v>
      </c>
      <c r="L16" s="18">
        <f>IF($B16="","",SUMIFS('Номма-ном'!$R:$R,'Номма-ном'!$B:$B,$R$2,'Номма-ном'!$C:$C,$B16,'Номма-ном'!$J:$J,"МЧЖ",'Номма-ном'!$M:$M,"&gt;="&amp;Йўриқнома!$C$3,'Номма-ном'!$M:$M,"&lt;="&amp;Йўриқнома!$C$4))</f>
        <v>0</v>
      </c>
      <c r="M16" s="18">
        <f>IF($B16="","",COUNTIFS('Номма-ном'!$B:$B,$R$2,'Номма-ном'!$C:$C,$B16,'Номма-ном'!$J:$J,"Деҳқон хўжалиги",'Номма-ном'!$M:$M,"&gt;="&amp;Йўриқнома!$C$3,'Номма-ном'!$M:$M,"&lt;="&amp;Йўриқнома!$C$4))</f>
        <v>0</v>
      </c>
      <c r="N16" s="18">
        <f>IF($B16="","",COUNTIFS('Номма-ном'!$B:$B,$R$2,'Номма-ном'!$C:$C,$B16,'Номма-ном'!$J:$J,"Деҳқон хўжалиги",'Номма-ном'!$M:$M,"&gt;="&amp;Йўриқнома!$C$3,'Номма-ном'!$M:$M,"&lt;="&amp;Йўриқнома!$C$4,'Номма-ном'!$O:$O,"Ҳа"))</f>
        <v>0</v>
      </c>
      <c r="O16" s="18">
        <f>IF($B16="","",COUNTIFS('Номма-ном'!$B:$B,$R$2,'Номма-ном'!$C:$C,$B16,'Номма-ном'!$J:$J,"Деҳқон хўжалиги",'Номма-ном'!$M:$M,Йўриқнома!$C$4))</f>
        <v>0</v>
      </c>
      <c r="P16" s="21">
        <f>IF($B16="","",SUMIFS('Номма-ном'!$S:$S,'Номма-ном'!$B:$B,$R$2,'Номма-ном'!$C:$C,$B16,'Номма-ном'!$J:$J,"Деҳқон хўжалиги",'Номма-ном'!$M:$M,"&gt;="&amp;Йўриқнома!$C$3,'Номма-ном'!$M:$M,"&lt;="&amp;Йўриқнома!$C$4))</f>
        <v>0</v>
      </c>
    </row>
    <row r="17" spans="1:16" ht="29.25" customHeight="1" x14ac:dyDescent="0.25">
      <c r="A17" s="18">
        <f>IF(B17="","",11)</f>
        <v>11</v>
      </c>
      <c r="B17" s="19" t="str">
        <f>IFERROR(IF(INDEX(Маълумотнома!$A:$A,MATCH($R$2,Маълумотнома!$A:$A,0)+10)=$R$2,INDEX(Маълумотнома!$B:$B,MATCH($R$2,Маълумотнома!$A:$A,0)+10),""),"")</f>
        <v>Янгиер шаҳри</v>
      </c>
      <c r="C17" s="20">
        <f t="shared" si="1"/>
        <v>8</v>
      </c>
      <c r="D17" s="20">
        <f t="shared" si="2"/>
        <v>1</v>
      </c>
      <c r="E17" s="20">
        <f t="shared" si="3"/>
        <v>0</v>
      </c>
      <c r="F17" s="18">
        <f>IF($B17="","",COUNTIFS('Номма-ном'!$B:$B,$R$2,'Номма-ном'!$C:$C,$B17,'Номма-ном'!$J:$J,"ЯТТ",'Номма-ном'!$M:$M,"&gt;="&amp;Йўриқнома!$C$3,'Номма-ном'!$M:$M,"&lt;="&amp;Йўриқнома!$C$4))</f>
        <v>8</v>
      </c>
      <c r="G17" s="18">
        <f>IF($B17="","",COUNTIFS('Номма-ном'!$B:$B,$R$2,'Номма-ном'!$C:$C,$B17,'Номма-ном'!$J:$J,"ЯТТ",'Номма-ном'!$M:$M,"&gt;="&amp;Йўриқнома!$C$3,'Номма-ном'!$M:$M,"&lt;="&amp;Йўриқнома!$C$4,'Номма-ном'!$O:$O,"Ҳа"))</f>
        <v>1</v>
      </c>
      <c r="H17" s="18">
        <f>IF($B17="","",COUNTIFS('Номма-ном'!$B:$B,$R$2,'Номма-ном'!$C:$C,$B17,'Номма-ном'!$J:$J,"ЯТТ",'Номма-ном'!$M:$M,Йўриқнома!$C$4))</f>
        <v>0</v>
      </c>
      <c r="I17" s="18">
        <f>IF($B17="","",COUNTIFS('Номма-ном'!$B:$B,$R$2,'Номма-ном'!$C:$C,$B17,'Номма-ном'!$J:$J,"МЧЖ",'Номма-ном'!$M:$M,"&gt;="&amp;Йўриқнома!$C$3,'Номма-ном'!$M:$M,"&lt;="&amp;Йўриқнома!$C$4))</f>
        <v>0</v>
      </c>
      <c r="J17" s="18">
        <f>IF($B17="","",COUNTIFS('Номма-ном'!$B:$B,$R$2,'Номма-ном'!$C:$C,$B17,'Номма-ном'!$J:$J,"МЧЖ",'Номма-ном'!$M:$M,"&gt;="&amp;Йўриқнома!$C$3,'Номма-ном'!$M:$M,"&lt;="&amp;Йўриқнома!$C$4,'Номма-ном'!$O:$O,"Ҳа"))</f>
        <v>0</v>
      </c>
      <c r="K17" s="18">
        <f>IF($B17="","",COUNTIFS('Номма-ном'!$B:$B,$R$2,'Номма-ном'!$C:$C,$B17,'Номма-ном'!$J:$J,"МЧЖ",'Номма-ном'!$M:$M,Йўриқнома!$C$4))</f>
        <v>0</v>
      </c>
      <c r="L17" s="18">
        <f>IF($B17="","",SUMIFS('Номма-ном'!$R:$R,'Номма-ном'!$B:$B,$R$2,'Номма-ном'!$C:$C,$B17,'Номма-ном'!$J:$J,"МЧЖ",'Номма-ном'!$M:$M,"&gt;="&amp;Йўриқнома!$C$3,'Номма-ном'!$M:$M,"&lt;="&amp;Йўриқнома!$C$4))</f>
        <v>0</v>
      </c>
      <c r="M17" s="18">
        <f>IF($B17="","",COUNTIFS('Номма-ном'!$B:$B,$R$2,'Номма-ном'!$C:$C,$B17,'Номма-ном'!$J:$J,"Деҳқон хўжалиги",'Номма-ном'!$M:$M,"&gt;="&amp;Йўриқнома!$C$3,'Номма-ном'!$M:$M,"&lt;="&amp;Йўриқнома!$C$4))</f>
        <v>0</v>
      </c>
      <c r="N17" s="18">
        <f>IF($B17="","",COUNTIFS('Номма-ном'!$B:$B,$R$2,'Номма-ном'!$C:$C,$B17,'Номма-ном'!$J:$J,"Деҳқон хўжалиги",'Номма-ном'!$M:$M,"&gt;="&amp;Йўриқнома!$C$3,'Номма-ном'!$M:$M,"&lt;="&amp;Йўриқнома!$C$4,'Номма-ном'!$O:$O,"Ҳа"))</f>
        <v>0</v>
      </c>
      <c r="O17" s="18">
        <f>IF($B17="","",COUNTIFS('Номма-ном'!$B:$B,$R$2,'Номма-ном'!$C:$C,$B17,'Номма-ном'!$J:$J,"Деҳқон хўжалиги",'Номма-ном'!$M:$M,Йўриқнома!$C$4))</f>
        <v>0</v>
      </c>
      <c r="P17" s="21">
        <f>IF($B17="","",SUMIFS('Номма-ном'!$S:$S,'Номма-ном'!$B:$B,$R$2,'Номма-ном'!$C:$C,$B17,'Номма-ном'!$J:$J,"Деҳқон хўжалиги",'Номма-ном'!$M:$M,"&gt;="&amp;Йўриқнома!$C$3,'Номма-ном'!$M:$M,"&lt;="&amp;Йўриқнома!$C$4))</f>
        <v>0</v>
      </c>
    </row>
  </sheetData>
  <mergeCells count="22">
    <mergeCell ref="P4:P5"/>
    <mergeCell ref="K4:K5"/>
    <mergeCell ref="L4:L5"/>
    <mergeCell ref="M4:M5"/>
    <mergeCell ref="N4:N5"/>
    <mergeCell ref="O4:O5"/>
    <mergeCell ref="A1:P1"/>
    <mergeCell ref="C2:D2"/>
    <mergeCell ref="A3:A5"/>
    <mergeCell ref="B3:B5"/>
    <mergeCell ref="C3:E3"/>
    <mergeCell ref="F3:H3"/>
    <mergeCell ref="I3:L3"/>
    <mergeCell ref="M3:P3"/>
    <mergeCell ref="C4:C5"/>
    <mergeCell ref="D4:D5"/>
    <mergeCell ref="E4:E5"/>
    <mergeCell ref="F4:F5"/>
    <mergeCell ref="G4:G5"/>
    <mergeCell ref="H4:H5"/>
    <mergeCell ref="I4:I5"/>
    <mergeCell ref="J4:J5"/>
  </mergeCells>
  <pageMargins left="0.19685039370078741" right="0.19685039370078741" top="0.39370078740157483" bottom="0.19685039370078741" header="0.19685039370078741" footer="0.19685039370078741"/>
  <pageSetup paperSize="9" scale="7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Маълумотнома!$N$2:$N$15</xm:f>
          </x14:formula1>
          <x14:formula2>
            <xm:f>0</xm:f>
          </x14:formula2>
          <xm:sqref>R2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520"/>
  <sheetViews>
    <sheetView topLeftCell="I1" zoomScaleNormal="100" workbookViewId="0">
      <pane ySplit="3" topLeftCell="A4" activePane="bottomLeft" state="frozen"/>
      <selection pane="bottomLeft" sqref="A1:V1"/>
    </sheetView>
  </sheetViews>
  <sheetFormatPr defaultColWidth="8.7109375" defaultRowHeight="15" x14ac:dyDescent="0.25"/>
  <cols>
    <col min="1" max="1" width="6" customWidth="1"/>
    <col min="2" max="2" width="18" customWidth="1"/>
    <col min="3" max="3" width="20" customWidth="1"/>
    <col min="4" max="4" width="22" customWidth="1"/>
    <col min="5" max="5" width="34" customWidth="1"/>
    <col min="6" max="6" width="18" style="8" customWidth="1"/>
    <col min="7" max="7" width="13" style="9" customWidth="1"/>
    <col min="8" max="8" width="9" customWidth="1"/>
    <col min="9" max="9" width="16" style="8" customWidth="1"/>
    <col min="10" max="10" width="17" customWidth="1"/>
    <col min="11" max="11" width="28" customWidth="1"/>
    <col min="12" max="12" width="13" style="8" customWidth="1"/>
    <col min="13" max="13" width="15" style="9" customWidth="1"/>
    <col min="14" max="14" width="20" customWidth="1"/>
    <col min="15" max="15" width="11" customWidth="1"/>
    <col min="16" max="16" width="15" customWidth="1"/>
    <col min="17" max="17" width="14" style="10" customWidth="1"/>
    <col min="18" max="18" width="12" style="11" customWidth="1"/>
    <col min="19" max="19" width="11" style="12" customWidth="1"/>
    <col min="20" max="20" width="17" customWidth="1"/>
    <col min="21" max="22" width="26" customWidth="1"/>
  </cols>
  <sheetData>
    <row r="1" spans="1:23" ht="30" customHeight="1" x14ac:dyDescent="0.25">
      <c r="A1" s="63" t="s">
        <v>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3" x14ac:dyDescent="0.25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</row>
    <row r="3" spans="1:23" ht="60" customHeight="1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</row>
  </sheetData>
  <autoFilter ref="A4:W520" xr:uid="{00000000-0001-0000-0100-000000000000}">
    <filterColumn colId="22">
      <filters>
        <filter val="Тадбиркорлик ташаббуси борлар"/>
      </filters>
    </filterColumn>
  </autoFilter>
  <conditionalFormatting sqref="F5:F200004">
    <cfRule type="expression" dxfId="5" priority="2">
      <formula>AND(F5&lt;&gt;"",OR(LEN(F5)&lt;&gt;14,ISERROR(VALUE(F5))))</formula>
    </cfRule>
  </conditionalFormatting>
  <conditionalFormatting sqref="K5:K200004">
    <cfRule type="expression" dxfId="4" priority="6">
      <formula>AND(OR(J5="МЧЖ",J5="Деҳқон хўжалиги"),K5="")</formula>
    </cfRule>
  </conditionalFormatting>
  <conditionalFormatting sqref="L5:L200004">
    <cfRule type="expression" dxfId="3" priority="3">
      <formula>AND(L5&lt;&gt;"",OR(LEN(L5)&lt;&gt;9,ISERROR(VALUE(L5))))</formula>
    </cfRule>
  </conditionalFormatting>
  <conditionalFormatting sqref="M5:M200004">
    <cfRule type="expression" dxfId="2" priority="4">
      <formula>AND(J5&lt;&gt;"",M5="")</formula>
    </cfRule>
  </conditionalFormatting>
  <conditionalFormatting sqref="O5:O200004">
    <cfRule type="expression" dxfId="1" priority="5">
      <formula>AND(J5&lt;&gt;"",O5="")</formula>
    </cfRule>
  </conditionalFormatting>
  <conditionalFormatting sqref="S5:S200004">
    <cfRule type="expression" dxfId="0" priority="7">
      <formula>AND(J5="Деҳқон хўжалиги",S5="")</formula>
    </cfRule>
  </conditionalFormatting>
  <dataValidations disablePrompts="1" count="4">
    <dataValidation type="textLength" operator="equal" allowBlank="1" showErrorMessage="1" errorTitle="ЖШШИР" error="14 та рақам" sqref="F5:F200004" xr:uid="{00000000-0002-0000-0100-000008000000}">
      <formula1>14</formula1>
      <formula2>0</formula2>
    </dataValidation>
    <dataValidation type="textLength" operator="equal" allowBlank="1" showErrorMessage="1" errorTitle="СТИР" error="9 та рақам" sqref="L5:L200004" xr:uid="{00000000-0002-0000-0100-000009000000}">
      <formula1>9</formula1>
      <formula2>0</formula2>
    </dataValidation>
    <dataValidation type="date" allowBlank="1" showErrorMessage="1" errorTitle="Сана" error="кк.оо.йййй" sqref="G5:G200004 M5:M200004" xr:uid="{00000000-0002-0000-0100-00000A000000}">
      <formula1>DATE(1930,1,1)</formula1>
      <formula2>DATE(2030,12,31)</formula2>
    </dataValidation>
    <dataValidation type="decimal" operator="greaterThanOrEqual" allowBlank="1" showErrorMessage="1" errorTitle="Сон" error="Мусбат сон" sqref="Q5:S200004" xr:uid="{00000000-0002-0000-0100-00000C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ErrorMessage="1" errorTitle="Вилоят" error="Рўйхатдан танланг" xr:uid="{00000000-0002-0000-0100-000000000000}">
          <x14:formula1>
            <xm:f>Маълумотнома!$N$2:$N$15</xm:f>
          </x14:formula1>
          <x14:formula2>
            <xm:f>0</xm:f>
          </x14:formula2>
          <xm:sqref>B5:B200004</xm:sqref>
        </x14:dataValidation>
        <x14:dataValidation type="list" allowBlank="1" showErrorMessage="1" errorTitle="Туман" error="Аввал вилоятни танланг" xr:uid="{00000000-0002-0000-0100-000001000000}">
          <x14:formula1>
            <xm:f>OFFSET(Маълумотнома!$B$1,MATCH($B5,Маълумотнома!$A:$A,0)-1,0,COUNTIF(Маълумотнома!$A:$A,$B5),1)</xm:f>
          </x14:formula1>
          <x14:formula2>
            <xm:f>0</xm:f>
          </x14:formula2>
          <xm:sqref>C5:C200004</xm:sqref>
        </x14:dataValidation>
        <x14:dataValidation type="list" allowBlank="1" showErrorMessage="1" errorTitle="Жинси" error="Эркак ёки Аёл" xr:uid="{00000000-0002-0000-0100-000002000000}">
          <x14:formula1>
            <xm:f>Маълумотнома!$P$2:$P$3</xm:f>
          </x14:formula1>
          <x14:formula2>
            <xm:f>0</xm:f>
          </x14:formula2>
          <xm:sqref>H5:H200004</xm:sqref>
        </x14:dataValidation>
        <x14:dataValidation type="list" allowBlank="1" showErrorMessage="1" errorTitle="Шакл" error="ЯТТ, МЧЖ ёки Деҳқон хўжалиги" xr:uid="{00000000-0002-0000-0100-000003000000}">
          <x14:formula1>
            <xm:f>Маълумотнома!$D$2:$D$4</xm:f>
          </x14:formula1>
          <x14:formula2>
            <xm:f>0</xm:f>
          </x14:formula2>
          <xm:sqref>J5:J200004</xm:sqref>
        </x14:dataValidation>
        <x14:dataValidation type="list" allowBlank="1" showErrorMessage="1" errorTitle="Соҳа" error="Рўйхатдан танланг" xr:uid="{00000000-0002-0000-0100-000004000000}">
          <x14:formula1>
            <xm:f>Маълумотнома!$F$2:$F$12</xm:f>
          </x14:formula1>
          <x14:formula2>
            <xm:f>0</xm:f>
          </x14:formula2>
          <xm:sqref>N5:N200004</xm:sqref>
        </x14:dataValidation>
        <x14:dataValidation type="list" allowBlank="1" showErrorMessage="1" errorTitle="Реестр" error="Ҳа ёки Йўқ" xr:uid="{00000000-0002-0000-0100-000005000000}">
          <x14:formula1>
            <xm:f>Маълумотнома!$J$2:$J$3</xm:f>
          </x14:formula1>
          <x14:formula2>
            <xm:f>0</xm:f>
          </x14:formula2>
          <xm:sqref>O5:O200004</xm:sqref>
        </x14:dataValidation>
        <x14:dataValidation type="list" allowBlank="1" showErrorMessage="1" errorTitle="Кўмак" error="Рўйхатдан танланг" xr:uid="{00000000-0002-0000-0100-000006000000}">
          <x14:formula1>
            <xm:f>Маълумотнома!$H$2:$H$6</xm:f>
          </x14:formula1>
          <x14:formula2>
            <xm:f>0</xm:f>
          </x14:formula2>
          <xm:sqref>P5:P200004</xm:sqref>
        </x14:dataValidation>
        <x14:dataValidation type="list" allowBlank="1" showErrorMessage="1" errorTitle="Манба" error="Рўйхатдан танланг" xr:uid="{00000000-0002-0000-0100-000007000000}">
          <x14:formula1>
            <xm:f>Маълумотнома!$L$2:$L$7</xm:f>
          </x14:formula1>
          <x14:formula2>
            <xm:f>0</xm:f>
          </x14:formula2>
          <xm:sqref>T5:T200004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24" customWidth="1"/>
    <col min="3" max="3" width="3" customWidth="1"/>
    <col min="4" max="4" width="22" customWidth="1"/>
    <col min="5" max="5" width="3" customWidth="1"/>
    <col min="6" max="6" width="22" customWidth="1"/>
    <col min="7" max="7" width="3" customWidth="1"/>
    <col min="8" max="8" width="16" customWidth="1"/>
    <col min="9" max="9" width="3" customWidth="1"/>
    <col min="10" max="10" width="10" customWidth="1"/>
    <col min="11" max="11" width="3" customWidth="1"/>
    <col min="12" max="12" width="20" customWidth="1"/>
    <col min="13" max="13" width="3" customWidth="1"/>
    <col min="14" max="14" width="20" customWidth="1"/>
    <col min="15" max="15" width="3" customWidth="1"/>
    <col min="16" max="16" width="10" customWidth="1"/>
  </cols>
  <sheetData>
    <row r="1" spans="1:16" ht="30" x14ac:dyDescent="0.25">
      <c r="A1" s="23" t="s">
        <v>20</v>
      </c>
      <c r="B1" s="23" t="s">
        <v>21</v>
      </c>
      <c r="D1" s="23" t="s">
        <v>28</v>
      </c>
      <c r="F1" s="23" t="s">
        <v>32</v>
      </c>
      <c r="H1" s="23" t="s">
        <v>87</v>
      </c>
      <c r="J1" s="23" t="s">
        <v>88</v>
      </c>
      <c r="L1" s="23" t="s">
        <v>38</v>
      </c>
      <c r="N1" s="23" t="s">
        <v>89</v>
      </c>
      <c r="P1" s="23" t="s">
        <v>26</v>
      </c>
    </row>
    <row r="2" spans="1:16" x14ac:dyDescent="0.25">
      <c r="A2" t="s">
        <v>72</v>
      </c>
      <c r="B2" t="s">
        <v>90</v>
      </c>
      <c r="D2" t="s">
        <v>91</v>
      </c>
      <c r="F2" t="s">
        <v>92</v>
      </c>
      <c r="H2" t="s">
        <v>55</v>
      </c>
      <c r="J2" t="s">
        <v>54</v>
      </c>
      <c r="L2" t="s">
        <v>93</v>
      </c>
      <c r="N2" t="s">
        <v>72</v>
      </c>
      <c r="P2" t="s">
        <v>47</v>
      </c>
    </row>
    <row r="3" spans="1:16" x14ac:dyDescent="0.25">
      <c r="A3" t="s">
        <v>72</v>
      </c>
      <c r="B3" t="s">
        <v>94</v>
      </c>
      <c r="D3" t="s">
        <v>95</v>
      </c>
      <c r="F3" t="s">
        <v>96</v>
      </c>
      <c r="H3" t="s">
        <v>97</v>
      </c>
      <c r="J3" t="s">
        <v>98</v>
      </c>
      <c r="L3" t="s">
        <v>56</v>
      </c>
      <c r="N3" t="s">
        <v>73</v>
      </c>
      <c r="P3" t="s">
        <v>99</v>
      </c>
    </row>
    <row r="4" spans="1:16" x14ac:dyDescent="0.25">
      <c r="A4" t="s">
        <v>72</v>
      </c>
      <c r="B4" t="s">
        <v>100</v>
      </c>
      <c r="D4" t="s">
        <v>49</v>
      </c>
      <c r="F4" t="s">
        <v>101</v>
      </c>
      <c r="H4" t="s">
        <v>102</v>
      </c>
      <c r="L4" t="s">
        <v>103</v>
      </c>
      <c r="N4" t="s">
        <v>74</v>
      </c>
    </row>
    <row r="5" spans="1:16" x14ac:dyDescent="0.25">
      <c r="A5" t="s">
        <v>72</v>
      </c>
      <c r="B5" t="s">
        <v>104</v>
      </c>
      <c r="F5" t="s">
        <v>105</v>
      </c>
      <c r="H5" t="s">
        <v>106</v>
      </c>
      <c r="L5" t="s">
        <v>107</v>
      </c>
      <c r="N5" t="s">
        <v>75</v>
      </c>
    </row>
    <row r="6" spans="1:16" x14ac:dyDescent="0.25">
      <c r="A6" t="s">
        <v>72</v>
      </c>
      <c r="B6" t="s">
        <v>108</v>
      </c>
      <c r="F6" t="s">
        <v>53</v>
      </c>
      <c r="H6" t="s">
        <v>109</v>
      </c>
      <c r="L6" t="s">
        <v>110</v>
      </c>
      <c r="N6" t="s">
        <v>76</v>
      </c>
    </row>
    <row r="7" spans="1:16" x14ac:dyDescent="0.25">
      <c r="A7" t="s">
        <v>72</v>
      </c>
      <c r="B7" t="s">
        <v>111</v>
      </c>
      <c r="F7" t="s">
        <v>112</v>
      </c>
      <c r="L7" t="s">
        <v>113</v>
      </c>
      <c r="N7" t="s">
        <v>77</v>
      </c>
    </row>
    <row r="8" spans="1:16" x14ac:dyDescent="0.25">
      <c r="A8" t="s">
        <v>72</v>
      </c>
      <c r="B8" t="s">
        <v>114</v>
      </c>
      <c r="F8" t="s">
        <v>115</v>
      </c>
      <c r="N8" t="s">
        <v>78</v>
      </c>
    </row>
    <row r="9" spans="1:16" x14ac:dyDescent="0.25">
      <c r="A9" t="s">
        <v>72</v>
      </c>
      <c r="B9" t="s">
        <v>116</v>
      </c>
      <c r="F9" t="s">
        <v>117</v>
      </c>
      <c r="N9" t="s">
        <v>79</v>
      </c>
    </row>
    <row r="10" spans="1:16" x14ac:dyDescent="0.25">
      <c r="A10" t="s">
        <v>72</v>
      </c>
      <c r="B10" t="s">
        <v>118</v>
      </c>
      <c r="F10" t="s">
        <v>119</v>
      </c>
      <c r="N10" t="s">
        <v>80</v>
      </c>
    </row>
    <row r="11" spans="1:16" x14ac:dyDescent="0.25">
      <c r="A11" t="s">
        <v>72</v>
      </c>
      <c r="B11" t="s">
        <v>120</v>
      </c>
      <c r="F11" t="s">
        <v>121</v>
      </c>
      <c r="N11" t="s">
        <v>41</v>
      </c>
    </row>
    <row r="12" spans="1:16" x14ac:dyDescent="0.25">
      <c r="A12" t="s">
        <v>72</v>
      </c>
      <c r="B12" t="s">
        <v>122</v>
      </c>
      <c r="F12" t="s">
        <v>113</v>
      </c>
      <c r="N12" t="s">
        <v>81</v>
      </c>
    </row>
    <row r="13" spans="1:16" x14ac:dyDescent="0.25">
      <c r="A13" t="s">
        <v>72</v>
      </c>
      <c r="B13" t="s">
        <v>123</v>
      </c>
      <c r="N13" t="s">
        <v>82</v>
      </c>
    </row>
    <row r="14" spans="1:16" x14ac:dyDescent="0.25">
      <c r="A14" t="s">
        <v>72</v>
      </c>
      <c r="B14" t="s">
        <v>124</v>
      </c>
      <c r="N14" t="s">
        <v>83</v>
      </c>
    </row>
    <row r="15" spans="1:16" x14ac:dyDescent="0.25">
      <c r="A15" t="s">
        <v>72</v>
      </c>
      <c r="B15" t="s">
        <v>125</v>
      </c>
      <c r="N15" t="s">
        <v>84</v>
      </c>
    </row>
    <row r="16" spans="1:16" x14ac:dyDescent="0.25">
      <c r="A16" t="s">
        <v>72</v>
      </c>
      <c r="B16" t="s">
        <v>126</v>
      </c>
    </row>
    <row r="17" spans="1:2" x14ac:dyDescent="0.25">
      <c r="A17" t="s">
        <v>72</v>
      </c>
      <c r="B17" t="s">
        <v>127</v>
      </c>
    </row>
    <row r="18" spans="1:2" x14ac:dyDescent="0.25">
      <c r="A18" t="s">
        <v>72</v>
      </c>
      <c r="B18" t="s">
        <v>128</v>
      </c>
    </row>
    <row r="19" spans="1:2" x14ac:dyDescent="0.25">
      <c r="A19" t="s">
        <v>73</v>
      </c>
      <c r="B19" t="s">
        <v>129</v>
      </c>
    </row>
    <row r="20" spans="1:2" x14ac:dyDescent="0.25">
      <c r="A20" t="s">
        <v>73</v>
      </c>
      <c r="B20" t="s">
        <v>130</v>
      </c>
    </row>
    <row r="21" spans="1:2" x14ac:dyDescent="0.25">
      <c r="A21" t="s">
        <v>73</v>
      </c>
      <c r="B21" t="s">
        <v>131</v>
      </c>
    </row>
    <row r="22" spans="1:2" x14ac:dyDescent="0.25">
      <c r="A22" t="s">
        <v>73</v>
      </c>
      <c r="B22" t="s">
        <v>132</v>
      </c>
    </row>
    <row r="23" spans="1:2" x14ac:dyDescent="0.25">
      <c r="A23" t="s">
        <v>73</v>
      </c>
      <c r="B23" t="s">
        <v>133</v>
      </c>
    </row>
    <row r="24" spans="1:2" x14ac:dyDescent="0.25">
      <c r="A24" t="s">
        <v>73</v>
      </c>
      <c r="B24" t="s">
        <v>134</v>
      </c>
    </row>
    <row r="25" spans="1:2" x14ac:dyDescent="0.25">
      <c r="A25" t="s">
        <v>73</v>
      </c>
      <c r="B25" t="s">
        <v>135</v>
      </c>
    </row>
    <row r="26" spans="1:2" x14ac:dyDescent="0.25">
      <c r="A26" t="s">
        <v>73</v>
      </c>
      <c r="B26" t="s">
        <v>136</v>
      </c>
    </row>
    <row r="27" spans="1:2" x14ac:dyDescent="0.25">
      <c r="A27" t="s">
        <v>73</v>
      </c>
      <c r="B27" t="s">
        <v>137</v>
      </c>
    </row>
    <row r="28" spans="1:2" x14ac:dyDescent="0.25">
      <c r="A28" t="s">
        <v>73</v>
      </c>
      <c r="B28" t="s">
        <v>43</v>
      </c>
    </row>
    <row r="29" spans="1:2" x14ac:dyDescent="0.25">
      <c r="A29" t="s">
        <v>73</v>
      </c>
      <c r="B29" t="s">
        <v>138</v>
      </c>
    </row>
    <row r="30" spans="1:2" x14ac:dyDescent="0.25">
      <c r="A30" t="s">
        <v>73</v>
      </c>
      <c r="B30" t="s">
        <v>139</v>
      </c>
    </row>
    <row r="31" spans="1:2" x14ac:dyDescent="0.25">
      <c r="A31" t="s">
        <v>73</v>
      </c>
      <c r="B31" t="s">
        <v>140</v>
      </c>
    </row>
    <row r="32" spans="1:2" x14ac:dyDescent="0.25">
      <c r="A32" t="s">
        <v>73</v>
      </c>
      <c r="B32" t="s">
        <v>141</v>
      </c>
    </row>
    <row r="33" spans="1:2" x14ac:dyDescent="0.25">
      <c r="A33" t="s">
        <v>73</v>
      </c>
      <c r="B33" t="s">
        <v>142</v>
      </c>
    </row>
    <row r="34" spans="1:2" x14ac:dyDescent="0.25">
      <c r="A34" t="s">
        <v>73</v>
      </c>
      <c r="B34" t="s">
        <v>143</v>
      </c>
    </row>
    <row r="35" spans="1:2" x14ac:dyDescent="0.25">
      <c r="A35" t="s">
        <v>74</v>
      </c>
      <c r="B35" t="s">
        <v>144</v>
      </c>
    </row>
    <row r="36" spans="1:2" x14ac:dyDescent="0.25">
      <c r="A36" t="s">
        <v>74</v>
      </c>
      <c r="B36" t="s">
        <v>145</v>
      </c>
    </row>
    <row r="37" spans="1:2" x14ac:dyDescent="0.25">
      <c r="A37" t="s">
        <v>74</v>
      </c>
      <c r="B37" t="s">
        <v>146</v>
      </c>
    </row>
    <row r="38" spans="1:2" x14ac:dyDescent="0.25">
      <c r="A38" t="s">
        <v>74</v>
      </c>
      <c r="B38" t="s">
        <v>147</v>
      </c>
    </row>
    <row r="39" spans="1:2" x14ac:dyDescent="0.25">
      <c r="A39" t="s">
        <v>74</v>
      </c>
      <c r="B39" t="s">
        <v>148</v>
      </c>
    </row>
    <row r="40" spans="1:2" x14ac:dyDescent="0.25">
      <c r="A40" t="s">
        <v>74</v>
      </c>
      <c r="B40" t="s">
        <v>149</v>
      </c>
    </row>
    <row r="41" spans="1:2" x14ac:dyDescent="0.25">
      <c r="A41" t="s">
        <v>74</v>
      </c>
      <c r="B41" t="s">
        <v>150</v>
      </c>
    </row>
    <row r="42" spans="1:2" x14ac:dyDescent="0.25">
      <c r="A42" t="s">
        <v>74</v>
      </c>
      <c r="B42" t="s">
        <v>151</v>
      </c>
    </row>
    <row r="43" spans="1:2" x14ac:dyDescent="0.25">
      <c r="A43" t="s">
        <v>74</v>
      </c>
      <c r="B43" t="s">
        <v>152</v>
      </c>
    </row>
    <row r="44" spans="1:2" x14ac:dyDescent="0.25">
      <c r="A44" t="s">
        <v>74</v>
      </c>
      <c r="B44" t="s">
        <v>153</v>
      </c>
    </row>
    <row r="45" spans="1:2" x14ac:dyDescent="0.25">
      <c r="A45" t="s">
        <v>74</v>
      </c>
      <c r="B45" t="s">
        <v>154</v>
      </c>
    </row>
    <row r="46" spans="1:2" x14ac:dyDescent="0.25">
      <c r="A46" t="s">
        <v>74</v>
      </c>
      <c r="B46" t="s">
        <v>155</v>
      </c>
    </row>
    <row r="47" spans="1:2" x14ac:dyDescent="0.25">
      <c r="A47" t="s">
        <v>74</v>
      </c>
      <c r="B47" t="s">
        <v>156</v>
      </c>
    </row>
    <row r="48" spans="1:2" x14ac:dyDescent="0.25">
      <c r="A48" t="s">
        <v>75</v>
      </c>
      <c r="B48" t="s">
        <v>157</v>
      </c>
    </row>
    <row r="49" spans="1:2" x14ac:dyDescent="0.25">
      <c r="A49" t="s">
        <v>75</v>
      </c>
      <c r="B49" t="s">
        <v>158</v>
      </c>
    </row>
    <row r="50" spans="1:2" x14ac:dyDescent="0.25">
      <c r="A50" t="s">
        <v>75</v>
      </c>
      <c r="B50" t="s">
        <v>159</v>
      </c>
    </row>
    <row r="51" spans="1:2" x14ac:dyDescent="0.25">
      <c r="A51" t="s">
        <v>75</v>
      </c>
      <c r="B51" t="s">
        <v>160</v>
      </c>
    </row>
    <row r="52" spans="1:2" x14ac:dyDescent="0.25">
      <c r="A52" t="s">
        <v>75</v>
      </c>
      <c r="B52" t="s">
        <v>161</v>
      </c>
    </row>
    <row r="53" spans="1:2" x14ac:dyDescent="0.25">
      <c r="A53" t="s">
        <v>75</v>
      </c>
      <c r="B53" t="s">
        <v>162</v>
      </c>
    </row>
    <row r="54" spans="1:2" x14ac:dyDescent="0.25">
      <c r="A54" t="s">
        <v>75</v>
      </c>
      <c r="B54" t="s">
        <v>163</v>
      </c>
    </row>
    <row r="55" spans="1:2" x14ac:dyDescent="0.25">
      <c r="A55" t="s">
        <v>75</v>
      </c>
      <c r="B55" t="s">
        <v>164</v>
      </c>
    </row>
    <row r="56" spans="1:2" x14ac:dyDescent="0.25">
      <c r="A56" t="s">
        <v>75</v>
      </c>
      <c r="B56" t="s">
        <v>165</v>
      </c>
    </row>
    <row r="57" spans="1:2" x14ac:dyDescent="0.25">
      <c r="A57" t="s">
        <v>75</v>
      </c>
      <c r="B57" t="s">
        <v>166</v>
      </c>
    </row>
    <row r="58" spans="1:2" x14ac:dyDescent="0.25">
      <c r="A58" t="s">
        <v>75</v>
      </c>
      <c r="B58" t="s">
        <v>167</v>
      </c>
    </row>
    <row r="59" spans="1:2" x14ac:dyDescent="0.25">
      <c r="A59" t="s">
        <v>75</v>
      </c>
      <c r="B59" t="s">
        <v>168</v>
      </c>
    </row>
    <row r="60" spans="1:2" x14ac:dyDescent="0.25">
      <c r="A60" t="s">
        <v>75</v>
      </c>
      <c r="B60" t="s">
        <v>169</v>
      </c>
    </row>
    <row r="61" spans="1:2" x14ac:dyDescent="0.25">
      <c r="A61" t="s">
        <v>76</v>
      </c>
      <c r="B61" t="s">
        <v>170</v>
      </c>
    </row>
    <row r="62" spans="1:2" x14ac:dyDescent="0.25">
      <c r="A62" t="s">
        <v>76</v>
      </c>
      <c r="B62" t="s">
        <v>171</v>
      </c>
    </row>
    <row r="63" spans="1:2" x14ac:dyDescent="0.25">
      <c r="A63" t="s">
        <v>76</v>
      </c>
      <c r="B63" t="s">
        <v>172</v>
      </c>
    </row>
    <row r="64" spans="1:2" x14ac:dyDescent="0.25">
      <c r="A64" t="s">
        <v>76</v>
      </c>
      <c r="B64" t="s">
        <v>173</v>
      </c>
    </row>
    <row r="65" spans="1:2" x14ac:dyDescent="0.25">
      <c r="A65" t="s">
        <v>76</v>
      </c>
      <c r="B65" t="s">
        <v>174</v>
      </c>
    </row>
    <row r="66" spans="1:2" x14ac:dyDescent="0.25">
      <c r="A66" t="s">
        <v>76</v>
      </c>
      <c r="B66" t="s">
        <v>175</v>
      </c>
    </row>
    <row r="67" spans="1:2" x14ac:dyDescent="0.25">
      <c r="A67" t="s">
        <v>76</v>
      </c>
      <c r="B67" t="s">
        <v>176</v>
      </c>
    </row>
    <row r="68" spans="1:2" x14ac:dyDescent="0.25">
      <c r="A68" t="s">
        <v>76</v>
      </c>
      <c r="B68" t="s">
        <v>177</v>
      </c>
    </row>
    <row r="69" spans="1:2" x14ac:dyDescent="0.25">
      <c r="A69" t="s">
        <v>76</v>
      </c>
      <c r="B69" t="s">
        <v>178</v>
      </c>
    </row>
    <row r="70" spans="1:2" x14ac:dyDescent="0.25">
      <c r="A70" t="s">
        <v>76</v>
      </c>
      <c r="B70" t="s">
        <v>179</v>
      </c>
    </row>
    <row r="71" spans="1:2" x14ac:dyDescent="0.25">
      <c r="A71" t="s">
        <v>76</v>
      </c>
      <c r="B71" t="s">
        <v>180</v>
      </c>
    </row>
    <row r="72" spans="1:2" x14ac:dyDescent="0.25">
      <c r="A72" t="s">
        <v>76</v>
      </c>
      <c r="B72" t="s">
        <v>181</v>
      </c>
    </row>
    <row r="73" spans="1:2" x14ac:dyDescent="0.25">
      <c r="A73" t="s">
        <v>76</v>
      </c>
      <c r="B73" t="s">
        <v>182</v>
      </c>
    </row>
    <row r="74" spans="1:2" x14ac:dyDescent="0.25">
      <c r="A74" t="s">
        <v>76</v>
      </c>
      <c r="B74" t="s">
        <v>183</v>
      </c>
    </row>
    <row r="75" spans="1:2" x14ac:dyDescent="0.25">
      <c r="A75" t="s">
        <v>76</v>
      </c>
      <c r="B75" t="s">
        <v>184</v>
      </c>
    </row>
    <row r="76" spans="1:2" x14ac:dyDescent="0.25">
      <c r="A76" t="s">
        <v>76</v>
      </c>
      <c r="B76" t="s">
        <v>185</v>
      </c>
    </row>
    <row r="77" spans="1:2" x14ac:dyDescent="0.25">
      <c r="A77" t="s">
        <v>77</v>
      </c>
      <c r="B77" t="s">
        <v>186</v>
      </c>
    </row>
    <row r="78" spans="1:2" x14ac:dyDescent="0.25">
      <c r="A78" t="s">
        <v>77</v>
      </c>
      <c r="B78" t="s">
        <v>187</v>
      </c>
    </row>
    <row r="79" spans="1:2" x14ac:dyDescent="0.25">
      <c r="A79" t="s">
        <v>77</v>
      </c>
      <c r="B79" t="s">
        <v>188</v>
      </c>
    </row>
    <row r="80" spans="1:2" x14ac:dyDescent="0.25">
      <c r="A80" t="s">
        <v>77</v>
      </c>
      <c r="B80" t="s">
        <v>189</v>
      </c>
    </row>
    <row r="81" spans="1:2" x14ac:dyDescent="0.25">
      <c r="A81" t="s">
        <v>77</v>
      </c>
      <c r="B81" t="s">
        <v>190</v>
      </c>
    </row>
    <row r="82" spans="1:2" x14ac:dyDescent="0.25">
      <c r="A82" t="s">
        <v>77</v>
      </c>
      <c r="B82" t="s">
        <v>191</v>
      </c>
    </row>
    <row r="83" spans="1:2" x14ac:dyDescent="0.25">
      <c r="A83" t="s">
        <v>77</v>
      </c>
      <c r="B83" t="s">
        <v>192</v>
      </c>
    </row>
    <row r="84" spans="1:2" x14ac:dyDescent="0.25">
      <c r="A84" t="s">
        <v>77</v>
      </c>
      <c r="B84" t="s">
        <v>193</v>
      </c>
    </row>
    <row r="85" spans="1:2" x14ac:dyDescent="0.25">
      <c r="A85" t="s">
        <v>77</v>
      </c>
      <c r="B85" t="s">
        <v>194</v>
      </c>
    </row>
    <row r="86" spans="1:2" x14ac:dyDescent="0.25">
      <c r="A86" t="s">
        <v>77</v>
      </c>
      <c r="B86" t="s">
        <v>195</v>
      </c>
    </row>
    <row r="87" spans="1:2" x14ac:dyDescent="0.25">
      <c r="A87" t="s">
        <v>77</v>
      </c>
      <c r="B87" t="s">
        <v>196</v>
      </c>
    </row>
    <row r="88" spans="1:2" x14ac:dyDescent="0.25">
      <c r="A88" t="s">
        <v>78</v>
      </c>
      <c r="B88" t="s">
        <v>197</v>
      </c>
    </row>
    <row r="89" spans="1:2" x14ac:dyDescent="0.25">
      <c r="A89" t="s">
        <v>78</v>
      </c>
      <c r="B89" t="s">
        <v>198</v>
      </c>
    </row>
    <row r="90" spans="1:2" x14ac:dyDescent="0.25">
      <c r="A90" t="s">
        <v>78</v>
      </c>
      <c r="B90" t="s">
        <v>199</v>
      </c>
    </row>
    <row r="91" spans="1:2" x14ac:dyDescent="0.25">
      <c r="A91" t="s">
        <v>78</v>
      </c>
      <c r="B91" t="s">
        <v>200</v>
      </c>
    </row>
    <row r="92" spans="1:2" x14ac:dyDescent="0.25">
      <c r="A92" t="s">
        <v>78</v>
      </c>
      <c r="B92" t="s">
        <v>201</v>
      </c>
    </row>
    <row r="93" spans="1:2" x14ac:dyDescent="0.25">
      <c r="A93" t="s">
        <v>78</v>
      </c>
      <c r="B93" t="s">
        <v>202</v>
      </c>
    </row>
    <row r="94" spans="1:2" x14ac:dyDescent="0.25">
      <c r="A94" t="s">
        <v>78</v>
      </c>
      <c r="B94" t="s">
        <v>203</v>
      </c>
    </row>
    <row r="95" spans="1:2" x14ac:dyDescent="0.25">
      <c r="A95" t="s">
        <v>78</v>
      </c>
      <c r="B95" t="s">
        <v>204</v>
      </c>
    </row>
    <row r="96" spans="1:2" x14ac:dyDescent="0.25">
      <c r="A96" t="s">
        <v>78</v>
      </c>
      <c r="B96" t="s">
        <v>205</v>
      </c>
    </row>
    <row r="97" spans="1:2" x14ac:dyDescent="0.25">
      <c r="A97" t="s">
        <v>78</v>
      </c>
      <c r="B97" t="s">
        <v>206</v>
      </c>
    </row>
    <row r="98" spans="1:2" x14ac:dyDescent="0.25">
      <c r="A98" t="s">
        <v>78</v>
      </c>
      <c r="B98" t="s">
        <v>207</v>
      </c>
    </row>
    <row r="99" spans="1:2" x14ac:dyDescent="0.25">
      <c r="A99" t="s">
        <v>78</v>
      </c>
      <c r="B99" t="s">
        <v>208</v>
      </c>
    </row>
    <row r="100" spans="1:2" x14ac:dyDescent="0.25">
      <c r="A100" t="s">
        <v>78</v>
      </c>
      <c r="B100" t="s">
        <v>209</v>
      </c>
    </row>
    <row r="101" spans="1:2" x14ac:dyDescent="0.25">
      <c r="A101" t="s">
        <v>78</v>
      </c>
      <c r="B101" t="s">
        <v>210</v>
      </c>
    </row>
    <row r="102" spans="1:2" x14ac:dyDescent="0.25">
      <c r="A102" t="s">
        <v>79</v>
      </c>
      <c r="B102" t="s">
        <v>211</v>
      </c>
    </row>
    <row r="103" spans="1:2" x14ac:dyDescent="0.25">
      <c r="A103" t="s">
        <v>79</v>
      </c>
      <c r="B103" t="s">
        <v>212</v>
      </c>
    </row>
    <row r="104" spans="1:2" x14ac:dyDescent="0.25">
      <c r="A104" t="s">
        <v>79</v>
      </c>
      <c r="B104" t="s">
        <v>213</v>
      </c>
    </row>
    <row r="105" spans="1:2" x14ac:dyDescent="0.25">
      <c r="A105" t="s">
        <v>79</v>
      </c>
      <c r="B105" t="s">
        <v>214</v>
      </c>
    </row>
    <row r="106" spans="1:2" x14ac:dyDescent="0.25">
      <c r="A106" t="s">
        <v>79</v>
      </c>
      <c r="B106" t="s">
        <v>215</v>
      </c>
    </row>
    <row r="107" spans="1:2" x14ac:dyDescent="0.25">
      <c r="A107" t="s">
        <v>79</v>
      </c>
      <c r="B107" t="s">
        <v>216</v>
      </c>
    </row>
    <row r="108" spans="1:2" x14ac:dyDescent="0.25">
      <c r="A108" t="s">
        <v>79</v>
      </c>
      <c r="B108" t="s">
        <v>217</v>
      </c>
    </row>
    <row r="109" spans="1:2" x14ac:dyDescent="0.25">
      <c r="A109" t="s">
        <v>79</v>
      </c>
      <c r="B109" t="s">
        <v>218</v>
      </c>
    </row>
    <row r="110" spans="1:2" x14ac:dyDescent="0.25">
      <c r="A110" t="s">
        <v>79</v>
      </c>
      <c r="B110" t="s">
        <v>219</v>
      </c>
    </row>
    <row r="111" spans="1:2" x14ac:dyDescent="0.25">
      <c r="A111" t="s">
        <v>79</v>
      </c>
      <c r="B111" t="s">
        <v>220</v>
      </c>
    </row>
    <row r="112" spans="1:2" x14ac:dyDescent="0.25">
      <c r="A112" t="s">
        <v>79</v>
      </c>
      <c r="B112" t="s">
        <v>221</v>
      </c>
    </row>
    <row r="113" spans="1:2" x14ac:dyDescent="0.25">
      <c r="A113" t="s">
        <v>79</v>
      </c>
      <c r="B113" t="s">
        <v>222</v>
      </c>
    </row>
    <row r="114" spans="1:2" x14ac:dyDescent="0.25">
      <c r="A114" t="s">
        <v>79</v>
      </c>
      <c r="B114" t="s">
        <v>223</v>
      </c>
    </row>
    <row r="115" spans="1:2" x14ac:dyDescent="0.25">
      <c r="A115" t="s">
        <v>79</v>
      </c>
      <c r="B115" t="s">
        <v>224</v>
      </c>
    </row>
    <row r="116" spans="1:2" x14ac:dyDescent="0.25">
      <c r="A116" t="s">
        <v>79</v>
      </c>
      <c r="B116" t="s">
        <v>225</v>
      </c>
    </row>
    <row r="117" spans="1:2" x14ac:dyDescent="0.25">
      <c r="A117" t="s">
        <v>79</v>
      </c>
      <c r="B117" t="s">
        <v>226</v>
      </c>
    </row>
    <row r="118" spans="1:2" x14ac:dyDescent="0.25">
      <c r="A118" t="s">
        <v>80</v>
      </c>
      <c r="B118" t="s">
        <v>227</v>
      </c>
    </row>
    <row r="119" spans="1:2" x14ac:dyDescent="0.25">
      <c r="A119" t="s">
        <v>80</v>
      </c>
      <c r="B119" t="s">
        <v>228</v>
      </c>
    </row>
    <row r="120" spans="1:2" x14ac:dyDescent="0.25">
      <c r="A120" t="s">
        <v>80</v>
      </c>
      <c r="B120" t="s">
        <v>229</v>
      </c>
    </row>
    <row r="121" spans="1:2" x14ac:dyDescent="0.25">
      <c r="A121" t="s">
        <v>80</v>
      </c>
      <c r="B121" t="s">
        <v>230</v>
      </c>
    </row>
    <row r="122" spans="1:2" x14ac:dyDescent="0.25">
      <c r="A122" t="s">
        <v>80</v>
      </c>
      <c r="B122" t="s">
        <v>231</v>
      </c>
    </row>
    <row r="123" spans="1:2" x14ac:dyDescent="0.25">
      <c r="A123" t="s">
        <v>80</v>
      </c>
      <c r="B123" t="s">
        <v>232</v>
      </c>
    </row>
    <row r="124" spans="1:2" x14ac:dyDescent="0.25">
      <c r="A124" t="s">
        <v>80</v>
      </c>
      <c r="B124" t="s">
        <v>233</v>
      </c>
    </row>
    <row r="125" spans="1:2" x14ac:dyDescent="0.25">
      <c r="A125" t="s">
        <v>80</v>
      </c>
      <c r="B125" t="s">
        <v>234</v>
      </c>
    </row>
    <row r="126" spans="1:2" x14ac:dyDescent="0.25">
      <c r="A126" t="s">
        <v>80</v>
      </c>
      <c r="B126" t="s">
        <v>235</v>
      </c>
    </row>
    <row r="127" spans="1:2" x14ac:dyDescent="0.25">
      <c r="A127" t="s">
        <v>80</v>
      </c>
      <c r="B127" t="s">
        <v>236</v>
      </c>
    </row>
    <row r="128" spans="1:2" x14ac:dyDescent="0.25">
      <c r="A128" t="s">
        <v>80</v>
      </c>
      <c r="B128" t="s">
        <v>237</v>
      </c>
    </row>
    <row r="129" spans="1:2" x14ac:dyDescent="0.25">
      <c r="A129" t="s">
        <v>80</v>
      </c>
      <c r="B129" t="s">
        <v>238</v>
      </c>
    </row>
    <row r="130" spans="1:2" x14ac:dyDescent="0.25">
      <c r="A130" t="s">
        <v>80</v>
      </c>
      <c r="B130" t="s">
        <v>239</v>
      </c>
    </row>
    <row r="131" spans="1:2" x14ac:dyDescent="0.25">
      <c r="A131" t="s">
        <v>80</v>
      </c>
      <c r="B131" t="s">
        <v>240</v>
      </c>
    </row>
    <row r="132" spans="1:2" x14ac:dyDescent="0.25">
      <c r="A132" t="s">
        <v>80</v>
      </c>
      <c r="B132" t="s">
        <v>241</v>
      </c>
    </row>
    <row r="133" spans="1:2" x14ac:dyDescent="0.25">
      <c r="A133" t="s">
        <v>41</v>
      </c>
      <c r="B133" t="s">
        <v>242</v>
      </c>
    </row>
    <row r="134" spans="1:2" x14ac:dyDescent="0.25">
      <c r="A134" t="s">
        <v>41</v>
      </c>
      <c r="B134" t="s">
        <v>243</v>
      </c>
    </row>
    <row r="135" spans="1:2" x14ac:dyDescent="0.25">
      <c r="A135" t="s">
        <v>41</v>
      </c>
      <c r="B135" t="s">
        <v>244</v>
      </c>
    </row>
    <row r="136" spans="1:2" x14ac:dyDescent="0.25">
      <c r="A136" t="s">
        <v>41</v>
      </c>
      <c r="B136" t="s">
        <v>245</v>
      </c>
    </row>
    <row r="137" spans="1:2" x14ac:dyDescent="0.25">
      <c r="A137" t="s">
        <v>41</v>
      </c>
      <c r="B137" t="s">
        <v>246</v>
      </c>
    </row>
    <row r="138" spans="1:2" x14ac:dyDescent="0.25">
      <c r="A138" t="s">
        <v>41</v>
      </c>
      <c r="B138" t="s">
        <v>42</v>
      </c>
    </row>
    <row r="139" spans="1:2" x14ac:dyDescent="0.25">
      <c r="A139" t="s">
        <v>41</v>
      </c>
      <c r="B139" t="s">
        <v>247</v>
      </c>
    </row>
    <row r="140" spans="1:2" x14ac:dyDescent="0.25">
      <c r="A140" t="s">
        <v>41</v>
      </c>
      <c r="B140" t="s">
        <v>248</v>
      </c>
    </row>
    <row r="141" spans="1:2" x14ac:dyDescent="0.25">
      <c r="A141" t="s">
        <v>41</v>
      </c>
      <c r="B141" t="s">
        <v>249</v>
      </c>
    </row>
    <row r="142" spans="1:2" x14ac:dyDescent="0.25">
      <c r="A142" t="s">
        <v>41</v>
      </c>
      <c r="B142" t="s">
        <v>250</v>
      </c>
    </row>
    <row r="143" spans="1:2" x14ac:dyDescent="0.25">
      <c r="A143" t="s">
        <v>41</v>
      </c>
      <c r="B143" t="s">
        <v>251</v>
      </c>
    </row>
    <row r="144" spans="1:2" x14ac:dyDescent="0.25">
      <c r="A144" t="s">
        <v>81</v>
      </c>
      <c r="B144" t="s">
        <v>252</v>
      </c>
    </row>
    <row r="145" spans="1:2" x14ac:dyDescent="0.25">
      <c r="A145" t="s">
        <v>81</v>
      </c>
      <c r="B145" t="s">
        <v>253</v>
      </c>
    </row>
    <row r="146" spans="1:2" x14ac:dyDescent="0.25">
      <c r="A146" t="s">
        <v>81</v>
      </c>
      <c r="B146" t="s">
        <v>254</v>
      </c>
    </row>
    <row r="147" spans="1:2" x14ac:dyDescent="0.25">
      <c r="A147" t="s">
        <v>81</v>
      </c>
      <c r="B147" t="s">
        <v>255</v>
      </c>
    </row>
    <row r="148" spans="1:2" x14ac:dyDescent="0.25">
      <c r="A148" t="s">
        <v>81</v>
      </c>
      <c r="B148" t="s">
        <v>256</v>
      </c>
    </row>
    <row r="149" spans="1:2" x14ac:dyDescent="0.25">
      <c r="A149" t="s">
        <v>81</v>
      </c>
      <c r="B149" t="s">
        <v>257</v>
      </c>
    </row>
    <row r="150" spans="1:2" x14ac:dyDescent="0.25">
      <c r="A150" t="s">
        <v>81</v>
      </c>
      <c r="B150" t="s">
        <v>258</v>
      </c>
    </row>
    <row r="151" spans="1:2" x14ac:dyDescent="0.25">
      <c r="A151" t="s">
        <v>81</v>
      </c>
      <c r="B151" t="s">
        <v>259</v>
      </c>
    </row>
    <row r="152" spans="1:2" x14ac:dyDescent="0.25">
      <c r="A152" t="s">
        <v>81</v>
      </c>
      <c r="B152" t="s">
        <v>260</v>
      </c>
    </row>
    <row r="153" spans="1:2" x14ac:dyDescent="0.25">
      <c r="A153" t="s">
        <v>81</v>
      </c>
      <c r="B153" t="s">
        <v>261</v>
      </c>
    </row>
    <row r="154" spans="1:2" x14ac:dyDescent="0.25">
      <c r="A154" t="s">
        <v>81</v>
      </c>
      <c r="B154" t="s">
        <v>262</v>
      </c>
    </row>
    <row r="155" spans="1:2" x14ac:dyDescent="0.25">
      <c r="A155" t="s">
        <v>81</v>
      </c>
      <c r="B155" t="s">
        <v>263</v>
      </c>
    </row>
    <row r="156" spans="1:2" x14ac:dyDescent="0.25">
      <c r="A156" t="s">
        <v>81</v>
      </c>
      <c r="B156" t="s">
        <v>264</v>
      </c>
    </row>
    <row r="157" spans="1:2" x14ac:dyDescent="0.25">
      <c r="A157" t="s">
        <v>81</v>
      </c>
      <c r="B157" t="s">
        <v>265</v>
      </c>
    </row>
    <row r="158" spans="1:2" x14ac:dyDescent="0.25">
      <c r="A158" t="s">
        <v>81</v>
      </c>
      <c r="B158" t="s">
        <v>266</v>
      </c>
    </row>
    <row r="159" spans="1:2" x14ac:dyDescent="0.25">
      <c r="A159" t="s">
        <v>81</v>
      </c>
      <c r="B159" t="s">
        <v>267</v>
      </c>
    </row>
    <row r="160" spans="1:2" x14ac:dyDescent="0.25">
      <c r="A160" t="s">
        <v>81</v>
      </c>
      <c r="B160" t="s">
        <v>268</v>
      </c>
    </row>
    <row r="161" spans="1:2" x14ac:dyDescent="0.25">
      <c r="A161" t="s">
        <v>81</v>
      </c>
      <c r="B161" t="s">
        <v>269</v>
      </c>
    </row>
    <row r="162" spans="1:2" x14ac:dyDescent="0.25">
      <c r="A162" t="s">
        <v>81</v>
      </c>
      <c r="B162" t="s">
        <v>270</v>
      </c>
    </row>
    <row r="163" spans="1:2" x14ac:dyDescent="0.25">
      <c r="A163" t="s">
        <v>81</v>
      </c>
      <c r="B163" t="s">
        <v>271</v>
      </c>
    </row>
    <row r="164" spans="1:2" x14ac:dyDescent="0.25">
      <c r="A164" t="s">
        <v>81</v>
      </c>
      <c r="B164" t="s">
        <v>272</v>
      </c>
    </row>
    <row r="165" spans="1:2" x14ac:dyDescent="0.25">
      <c r="A165" t="s">
        <v>81</v>
      </c>
      <c r="B165" t="s">
        <v>273</v>
      </c>
    </row>
    <row r="166" spans="1:2" x14ac:dyDescent="0.25">
      <c r="A166" t="s">
        <v>82</v>
      </c>
      <c r="B166" t="s">
        <v>274</v>
      </c>
    </row>
    <row r="167" spans="1:2" x14ac:dyDescent="0.25">
      <c r="A167" t="s">
        <v>82</v>
      </c>
      <c r="B167" t="s">
        <v>275</v>
      </c>
    </row>
    <row r="168" spans="1:2" x14ac:dyDescent="0.25">
      <c r="A168" t="s">
        <v>82</v>
      </c>
      <c r="B168" t="s">
        <v>276</v>
      </c>
    </row>
    <row r="169" spans="1:2" x14ac:dyDescent="0.25">
      <c r="A169" t="s">
        <v>82</v>
      </c>
      <c r="B169" t="s">
        <v>277</v>
      </c>
    </row>
    <row r="170" spans="1:2" x14ac:dyDescent="0.25">
      <c r="A170" t="s">
        <v>82</v>
      </c>
      <c r="B170" t="s">
        <v>278</v>
      </c>
    </row>
    <row r="171" spans="1:2" x14ac:dyDescent="0.25">
      <c r="A171" t="s">
        <v>82</v>
      </c>
      <c r="B171" t="s">
        <v>279</v>
      </c>
    </row>
    <row r="172" spans="1:2" x14ac:dyDescent="0.25">
      <c r="A172" t="s">
        <v>82</v>
      </c>
      <c r="B172" t="s">
        <v>280</v>
      </c>
    </row>
    <row r="173" spans="1:2" x14ac:dyDescent="0.25">
      <c r="A173" t="s">
        <v>82</v>
      </c>
      <c r="B173" t="s">
        <v>281</v>
      </c>
    </row>
    <row r="174" spans="1:2" x14ac:dyDescent="0.25">
      <c r="A174" t="s">
        <v>82</v>
      </c>
      <c r="B174" t="s">
        <v>282</v>
      </c>
    </row>
    <row r="175" spans="1:2" x14ac:dyDescent="0.25">
      <c r="A175" t="s">
        <v>82</v>
      </c>
      <c r="B175" t="s">
        <v>283</v>
      </c>
    </row>
    <row r="176" spans="1:2" x14ac:dyDescent="0.25">
      <c r="A176" t="s">
        <v>82</v>
      </c>
      <c r="B176" t="s">
        <v>284</v>
      </c>
    </row>
    <row r="177" spans="1:2" x14ac:dyDescent="0.25">
      <c r="A177" t="s">
        <v>82</v>
      </c>
      <c r="B177" t="s">
        <v>285</v>
      </c>
    </row>
    <row r="178" spans="1:2" x14ac:dyDescent="0.25">
      <c r="A178" t="s">
        <v>82</v>
      </c>
      <c r="B178" t="s">
        <v>286</v>
      </c>
    </row>
    <row r="179" spans="1:2" x14ac:dyDescent="0.25">
      <c r="A179" t="s">
        <v>82</v>
      </c>
      <c r="B179" t="s">
        <v>287</v>
      </c>
    </row>
    <row r="180" spans="1:2" x14ac:dyDescent="0.25">
      <c r="A180" t="s">
        <v>82</v>
      </c>
      <c r="B180" t="s">
        <v>288</v>
      </c>
    </row>
    <row r="181" spans="1:2" x14ac:dyDescent="0.25">
      <c r="A181" t="s">
        <v>82</v>
      </c>
      <c r="B181" t="s">
        <v>289</v>
      </c>
    </row>
    <row r="182" spans="1:2" x14ac:dyDescent="0.25">
      <c r="A182" t="s">
        <v>82</v>
      </c>
      <c r="B182" t="s">
        <v>290</v>
      </c>
    </row>
    <row r="183" spans="1:2" x14ac:dyDescent="0.25">
      <c r="A183" t="s">
        <v>82</v>
      </c>
      <c r="B183" t="s">
        <v>291</v>
      </c>
    </row>
    <row r="184" spans="1:2" x14ac:dyDescent="0.25">
      <c r="A184" t="s">
        <v>82</v>
      </c>
      <c r="B184" t="s">
        <v>292</v>
      </c>
    </row>
    <row r="185" spans="1:2" x14ac:dyDescent="0.25">
      <c r="A185" t="s">
        <v>83</v>
      </c>
      <c r="B185" t="s">
        <v>293</v>
      </c>
    </row>
    <row r="186" spans="1:2" x14ac:dyDescent="0.25">
      <c r="A186" t="s">
        <v>83</v>
      </c>
      <c r="B186" t="s">
        <v>294</v>
      </c>
    </row>
    <row r="187" spans="1:2" x14ac:dyDescent="0.25">
      <c r="A187" t="s">
        <v>83</v>
      </c>
      <c r="B187" t="s">
        <v>295</v>
      </c>
    </row>
    <row r="188" spans="1:2" x14ac:dyDescent="0.25">
      <c r="A188" t="s">
        <v>83</v>
      </c>
      <c r="B188" t="s">
        <v>296</v>
      </c>
    </row>
    <row r="189" spans="1:2" x14ac:dyDescent="0.25">
      <c r="A189" t="s">
        <v>83</v>
      </c>
      <c r="B189" t="s">
        <v>297</v>
      </c>
    </row>
    <row r="190" spans="1:2" x14ac:dyDescent="0.25">
      <c r="A190" t="s">
        <v>83</v>
      </c>
      <c r="B190" t="s">
        <v>298</v>
      </c>
    </row>
    <row r="191" spans="1:2" x14ac:dyDescent="0.25">
      <c r="A191" t="s">
        <v>83</v>
      </c>
      <c r="B191" t="s">
        <v>299</v>
      </c>
    </row>
    <row r="192" spans="1:2" x14ac:dyDescent="0.25">
      <c r="A192" t="s">
        <v>83</v>
      </c>
      <c r="B192" t="s">
        <v>300</v>
      </c>
    </row>
    <row r="193" spans="1:2" x14ac:dyDescent="0.25">
      <c r="A193" t="s">
        <v>83</v>
      </c>
      <c r="B193" t="s">
        <v>301</v>
      </c>
    </row>
    <row r="194" spans="1:2" x14ac:dyDescent="0.25">
      <c r="A194" t="s">
        <v>83</v>
      </c>
      <c r="B194" t="s">
        <v>302</v>
      </c>
    </row>
    <row r="195" spans="1:2" x14ac:dyDescent="0.25">
      <c r="A195" t="s">
        <v>83</v>
      </c>
      <c r="B195" t="s">
        <v>303</v>
      </c>
    </row>
    <row r="196" spans="1:2" x14ac:dyDescent="0.25">
      <c r="A196" t="s">
        <v>83</v>
      </c>
      <c r="B196" t="s">
        <v>304</v>
      </c>
    </row>
    <row r="197" spans="1:2" x14ac:dyDescent="0.25">
      <c r="A197" t="s">
        <v>83</v>
      </c>
      <c r="B197" t="s">
        <v>305</v>
      </c>
    </row>
    <row r="198" spans="1:2" x14ac:dyDescent="0.25">
      <c r="A198" t="s">
        <v>84</v>
      </c>
      <c r="B198" t="s">
        <v>306</v>
      </c>
    </row>
    <row r="199" spans="1:2" x14ac:dyDescent="0.25">
      <c r="A199" t="s">
        <v>84</v>
      </c>
      <c r="B199" t="s">
        <v>307</v>
      </c>
    </row>
    <row r="200" spans="1:2" x14ac:dyDescent="0.25">
      <c r="A200" t="s">
        <v>84</v>
      </c>
      <c r="B200" t="s">
        <v>308</v>
      </c>
    </row>
    <row r="201" spans="1:2" x14ac:dyDescent="0.25">
      <c r="A201" t="s">
        <v>84</v>
      </c>
      <c r="B201" t="s">
        <v>309</v>
      </c>
    </row>
    <row r="202" spans="1:2" x14ac:dyDescent="0.25">
      <c r="A202" t="s">
        <v>84</v>
      </c>
      <c r="B202" t="s">
        <v>310</v>
      </c>
    </row>
    <row r="203" spans="1:2" x14ac:dyDescent="0.25">
      <c r="A203" t="s">
        <v>84</v>
      </c>
      <c r="B203" t="s">
        <v>311</v>
      </c>
    </row>
    <row r="204" spans="1:2" x14ac:dyDescent="0.25">
      <c r="A204" t="s">
        <v>84</v>
      </c>
      <c r="B204" t="s">
        <v>312</v>
      </c>
    </row>
    <row r="205" spans="1:2" x14ac:dyDescent="0.25">
      <c r="A205" t="s">
        <v>84</v>
      </c>
      <c r="B205" t="s">
        <v>313</v>
      </c>
    </row>
    <row r="206" spans="1:2" x14ac:dyDescent="0.25">
      <c r="A206" t="s">
        <v>84</v>
      </c>
      <c r="B206" t="s">
        <v>314</v>
      </c>
    </row>
    <row r="207" spans="1:2" x14ac:dyDescent="0.25">
      <c r="A207" t="s">
        <v>84</v>
      </c>
      <c r="B207" t="s">
        <v>315</v>
      </c>
    </row>
    <row r="208" spans="1:2" x14ac:dyDescent="0.25">
      <c r="A208" t="s">
        <v>84</v>
      </c>
      <c r="B208" t="s">
        <v>316</v>
      </c>
    </row>
    <row r="209" spans="1:2" x14ac:dyDescent="0.25">
      <c r="A209" t="s">
        <v>84</v>
      </c>
      <c r="B209" t="s">
        <v>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Йўриқнома</vt:lpstr>
      <vt:lpstr>Тоифалар кесимида</vt:lpstr>
      <vt:lpstr>Свод туман</vt:lpstr>
      <vt:lpstr>Номма-ном</vt:lpstr>
      <vt:lpstr>Маълумотнома</vt:lpstr>
      <vt:lpstr>'Свод туман'!Область_печати</vt:lpstr>
      <vt:lpstr>'Тоифалар кесимида'!Область_печати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Kuvondikov Otabek Sobit ugli</cp:lastModifiedBy>
  <cp:revision>0</cp:revision>
  <cp:lastPrinted>2026-10-17T14:28:01Z</cp:lastPrinted>
  <dcterms:created xsi:type="dcterms:W3CDTF">2026-10-15T07:48:03Z</dcterms:created>
  <dcterms:modified xsi:type="dcterms:W3CDTF">2026-10-17T14:28:04Z</dcterms:modified>
  <dc:language>en-US</dc:language>
</cp:coreProperties>
</file>